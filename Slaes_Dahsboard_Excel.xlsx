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mc:AlternateContent xmlns:mc="http://schemas.openxmlformats.org/markup-compatibility/2006">
    <mc:Choice Requires="x15">
      <x15ac:absPath xmlns:x15ac="http://schemas.microsoft.com/office/spreadsheetml/2010/11/ac" url="C:\Users\Syed Haider Ali\Downloads\"/>
    </mc:Choice>
  </mc:AlternateContent>
  <xr:revisionPtr revIDLastSave="0" documentId="8_{A5118874-B2B1-47CE-BA33-57F1F00EACD3}" xr6:coauthVersionLast="47" xr6:coauthVersionMax="47" xr10:uidLastSave="{00000000-0000-0000-0000-000000000000}"/>
  <bookViews>
    <workbookView xWindow="-108" yWindow="-108" windowWidth="23256" windowHeight="12456" xr2:uid="{00000000-000D-0000-FFFF-FFFF00000000}"/>
  </bookViews>
  <sheets>
    <sheet name="Dashboard" sheetId="3" r:id="rId1"/>
    <sheet name="Data" sheetId="1" r:id="rId2"/>
    <sheet name="Pivot" sheetId="2" r:id="rId3"/>
  </sheets>
  <definedNames>
    <definedName name="Slicer_Department">#N/A</definedName>
    <definedName name="Slicer_Month">#N/A</definedName>
  </definedNames>
  <calcPr calcId="191029"/>
  <pivotCaches>
    <pivotCache cacheId="66" r:id="rId4"/>
  </pivotCaches>
  <extLst>
    <ext xmlns:x14="http://schemas.microsoft.com/office/spreadsheetml/2009/9/main" uri="{BBE1A952-AA13-448e-AADC-164F8A28A991}">
      <x14:slicerCaches>
        <x14:slicerCache r:id="rId5"/>
        <x14:slicerCache r:id="rId6"/>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F5" i="3" l="1"/>
  <c r="AF6" i="3" s="1"/>
  <c r="AF4" i="3"/>
  <c r="AF3" i="3"/>
  <c r="AF2" i="3"/>
  <c r="AF7" i="3" s="1"/>
  <c r="O56" i="2"/>
  <c r="N56" i="2"/>
  <c r="M56" i="2"/>
  <c r="O55" i="2"/>
  <c r="N55" i="2"/>
  <c r="M55" i="2"/>
  <c r="O54" i="2"/>
  <c r="N54" i="2"/>
  <c r="M54" i="2"/>
  <c r="O53" i="2"/>
  <c r="N53" i="2"/>
  <c r="M53" i="2"/>
  <c r="O52" i="2"/>
  <c r="N52" i="2"/>
  <c r="M52" i="2"/>
  <c r="O51" i="2"/>
  <c r="N51" i="2"/>
  <c r="M51" i="2"/>
  <c r="K54" i="2"/>
  <c r="J54" i="2"/>
  <c r="K53" i="2"/>
  <c r="J53" i="2"/>
  <c r="K52" i="2"/>
  <c r="J52" i="2"/>
  <c r="K51" i="2"/>
  <c r="J51" i="2"/>
  <c r="H62" i="2"/>
  <c r="G62" i="2"/>
  <c r="H61" i="2"/>
  <c r="G61" i="2"/>
  <c r="H60" i="2"/>
  <c r="G60" i="2"/>
  <c r="H59" i="2"/>
  <c r="G59" i="2"/>
  <c r="H58" i="2"/>
  <c r="G58" i="2"/>
  <c r="H57" i="2"/>
  <c r="G57" i="2"/>
  <c r="H56" i="2"/>
  <c r="G56" i="2"/>
  <c r="H55" i="2"/>
  <c r="G55" i="2"/>
  <c r="H54" i="2"/>
  <c r="G54" i="2"/>
  <c r="H53" i="2"/>
  <c r="G53" i="2"/>
  <c r="H52" i="2"/>
  <c r="G52" i="2"/>
  <c r="H51" i="2"/>
  <c r="G51" i="2"/>
  <c r="E56" i="2"/>
  <c r="D56" i="2"/>
  <c r="E55" i="2"/>
  <c r="D55" i="2"/>
  <c r="E54" i="2"/>
  <c r="D54" i="2"/>
  <c r="E53" i="2"/>
  <c r="D53" i="2"/>
  <c r="E52" i="2"/>
  <c r="D52" i="2"/>
  <c r="E51" i="2"/>
  <c r="D51" i="2"/>
  <c r="B56" i="2"/>
  <c r="A56" i="2"/>
  <c r="B55" i="2"/>
  <c r="A55" i="2"/>
  <c r="B54" i="2"/>
  <c r="A54" i="2"/>
  <c r="B53" i="2"/>
  <c r="A53" i="2"/>
  <c r="B52" i="2"/>
  <c r="A52" i="2"/>
  <c r="B51" i="2"/>
  <c r="A51" i="2"/>
  <c r="J2" i="1"/>
  <c r="J3" i="1"/>
  <c r="J4" i="1"/>
  <c r="J5" i="1"/>
  <c r="J6" i="1"/>
  <c r="J7" i="1"/>
  <c r="J8" i="1"/>
  <c r="J9" i="1"/>
  <c r="J10" i="1"/>
  <c r="J11" i="1"/>
  <c r="J12" i="1"/>
  <c r="J13" i="1"/>
  <c r="J14" i="1"/>
  <c r="J15" i="1"/>
  <c r="J16" i="1"/>
  <c r="J17" i="1"/>
  <c r="J18" i="1"/>
  <c r="J19" i="1"/>
  <c r="J20" i="1"/>
  <c r="J21" i="1"/>
  <c r="J22" i="1"/>
  <c r="J23" i="1"/>
  <c r="J24" i="1"/>
  <c r="J25" i="1"/>
  <c r="J26" i="1"/>
  <c r="J27" i="1"/>
  <c r="J28" i="1"/>
  <c r="J29" i="1"/>
  <c r="J30" i="1"/>
  <c r="J31" i="1"/>
  <c r="J32" i="1"/>
  <c r="J33" i="1"/>
  <c r="J34" i="1"/>
  <c r="J35" i="1"/>
  <c r="J36" i="1"/>
  <c r="J37" i="1"/>
  <c r="J38" i="1"/>
  <c r="J39" i="1"/>
  <c r="J40" i="1"/>
  <c r="J41" i="1"/>
  <c r="J42" i="1"/>
  <c r="J43" i="1"/>
  <c r="J44" i="1"/>
  <c r="J45" i="1"/>
  <c r="J46" i="1"/>
  <c r="J47" i="1"/>
  <c r="J48" i="1"/>
  <c r="J49" i="1"/>
  <c r="J50" i="1"/>
  <c r="J51" i="1"/>
  <c r="J52" i="1"/>
  <c r="J53" i="1"/>
  <c r="J54" i="1"/>
  <c r="J55" i="1"/>
  <c r="J56" i="1"/>
  <c r="J57" i="1"/>
  <c r="J58" i="1"/>
  <c r="J59" i="1"/>
  <c r="J60" i="1"/>
  <c r="J61" i="1"/>
</calcChain>
</file>

<file path=xl/sharedStrings.xml><?xml version="1.0" encoding="utf-8"?>
<sst xmlns="http://schemas.openxmlformats.org/spreadsheetml/2006/main" count="351" uniqueCount="96">
  <si>
    <t>Expense ID</t>
  </si>
  <si>
    <t>Date</t>
  </si>
  <si>
    <t>Department</t>
  </si>
  <si>
    <t>Category</t>
  </si>
  <si>
    <t>Amount (INR)</t>
  </si>
  <si>
    <t>Payment Method</t>
  </si>
  <si>
    <t>Approved</t>
  </si>
  <si>
    <t>Budget Allocated</t>
  </si>
  <si>
    <t>Budget Remaining</t>
  </si>
  <si>
    <t>EXP1002</t>
  </si>
  <si>
    <t>Operations</t>
  </si>
  <si>
    <t>Training</t>
  </si>
  <si>
    <t>Bank Transfer</t>
  </si>
  <si>
    <t>Yes</t>
  </si>
  <si>
    <t>EXP1003</t>
  </si>
  <si>
    <t>Utilities</t>
  </si>
  <si>
    <t>Credit Card</t>
  </si>
  <si>
    <t>No</t>
  </si>
  <si>
    <t>EXP1004</t>
  </si>
  <si>
    <t>IT</t>
  </si>
  <si>
    <t>Software</t>
  </si>
  <si>
    <t>EXP1005</t>
  </si>
  <si>
    <t>Sales</t>
  </si>
  <si>
    <t>Cash</t>
  </si>
  <si>
    <t>EXP1006</t>
  </si>
  <si>
    <t>EXP1007</t>
  </si>
  <si>
    <t>HR</t>
  </si>
  <si>
    <t>Office Supplies</t>
  </si>
  <si>
    <t>EXP1008</t>
  </si>
  <si>
    <t>Finance</t>
  </si>
  <si>
    <t>Travel</t>
  </si>
  <si>
    <t>UPI</t>
  </si>
  <si>
    <t>EXP1009</t>
  </si>
  <si>
    <t>Equipment</t>
  </si>
  <si>
    <t>EXP1010</t>
  </si>
  <si>
    <t>EXP1011</t>
  </si>
  <si>
    <t>EXP1012</t>
  </si>
  <si>
    <t>EXP1013</t>
  </si>
  <si>
    <t>EXP1014</t>
  </si>
  <si>
    <t>EXP1015</t>
  </si>
  <si>
    <t>EXP1016</t>
  </si>
  <si>
    <t>EXP1017</t>
  </si>
  <si>
    <t>EXP1018</t>
  </si>
  <si>
    <t>EXP1019</t>
  </si>
  <si>
    <t>EXP1020</t>
  </si>
  <si>
    <t>EXP1021</t>
  </si>
  <si>
    <t>EXP1022</t>
  </si>
  <si>
    <t>EXP1023</t>
  </si>
  <si>
    <t>EXP1024</t>
  </si>
  <si>
    <t>EXP1025</t>
  </si>
  <si>
    <t>Marketing</t>
  </si>
  <si>
    <t>EXP1026</t>
  </si>
  <si>
    <t>EXP1027</t>
  </si>
  <si>
    <t>EXP1028</t>
  </si>
  <si>
    <t>EXP1029</t>
  </si>
  <si>
    <t>EXP1030</t>
  </si>
  <si>
    <t>EXP1031</t>
  </si>
  <si>
    <t>EXP1032</t>
  </si>
  <si>
    <t>EXP1033</t>
  </si>
  <si>
    <t>EXP1034</t>
  </si>
  <si>
    <t>EXP1035</t>
  </si>
  <si>
    <t>EXP1036</t>
  </si>
  <si>
    <t>EXP1037</t>
  </si>
  <si>
    <t>EXP1038</t>
  </si>
  <si>
    <t>EXP1039</t>
  </si>
  <si>
    <t>EXP1040</t>
  </si>
  <si>
    <t>EXP1041</t>
  </si>
  <si>
    <t>EXP1042</t>
  </si>
  <si>
    <t>EXP1043</t>
  </si>
  <si>
    <t>EXP1044</t>
  </si>
  <si>
    <t>EXP1045</t>
  </si>
  <si>
    <t>EXP1046</t>
  </si>
  <si>
    <t>EXP1047</t>
  </si>
  <si>
    <t>EXP1048</t>
  </si>
  <si>
    <t>EXP1049</t>
  </si>
  <si>
    <t>EXP1050</t>
  </si>
  <si>
    <t>EXP1051</t>
  </si>
  <si>
    <t>EXP1052</t>
  </si>
  <si>
    <t>EXP1053</t>
  </si>
  <si>
    <t>EXP1054</t>
  </si>
  <si>
    <t>EXP1055</t>
  </si>
  <si>
    <t>EXP1056</t>
  </si>
  <si>
    <t>EXP1057</t>
  </si>
  <si>
    <t>EXP1058</t>
  </si>
  <si>
    <t>EXP1059</t>
  </si>
  <si>
    <t>EXP1060</t>
  </si>
  <si>
    <t>EXP1061</t>
  </si>
  <si>
    <t>Month</t>
  </si>
  <si>
    <t>Grand Total</t>
  </si>
  <si>
    <t>Sum of Amount (INR)</t>
  </si>
  <si>
    <t>Aug</t>
  </si>
  <si>
    <t>Count of Expense ID</t>
  </si>
  <si>
    <t>Sum of Budget Allocated</t>
  </si>
  <si>
    <t>Sum of Budget Remaining</t>
  </si>
  <si>
    <t>Actual Spent</t>
  </si>
  <si>
    <t>Amount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</si>
</sst>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5" formatCode="dd\-mmm\-yyyy"/>
    <numFmt numFmtId="166" formatCode="#,##0,&quot;K&quot;"/>
    <numFmt numFmtId="167" formatCode="0.0%"/>
  </numFmts>
  <fonts count="3" x14ac:knownFonts="1">
    <font>
      <sz val="11"/>
      <color theme="1"/>
      <name val="Calibri"/>
      <family val="2"/>
      <scheme val="minor"/>
    </font>
    <font>
      <b/>
      <sz val="11"/>
      <color rgb="FFFFFFFF"/>
      <name val="Calibri"/>
      <family val="2"/>
      <scheme val="minor"/>
    </font>
    <font>
      <sz val="10"/>
      <color theme="1"/>
      <name val="Aptos"/>
      <family val="2"/>
    </font>
  </fonts>
  <fills count="4">
    <fill>
      <patternFill patternType="none"/>
    </fill>
    <fill>
      <patternFill patternType="gray125"/>
    </fill>
    <fill>
      <patternFill patternType="solid">
        <fgColor rgb="FF0F4C1F"/>
        <bgColor indexed="64"/>
      </patternFill>
    </fill>
    <fill>
      <patternFill patternType="solid">
        <fgColor rgb="FFF6FAF4"/>
        <bgColor indexed="64"/>
      </patternFill>
    </fill>
  </fills>
  <borders count="1">
    <border>
      <left/>
      <right/>
      <top/>
      <bottom/>
      <diagonal/>
    </border>
  </borders>
  <cellStyleXfs count="1">
    <xf numFmtId="0" fontId="0" fillId="0" borderId="0"/>
  </cellStyleXfs>
  <cellXfs count="16">
    <xf numFmtId="0" fontId="0" fillId="0" borderId="0" xfId="0"/>
    <xf numFmtId="165" fontId="0" fillId="0" borderId="0" xfId="0" applyNumberFormat="1"/>
    <xf numFmtId="166" fontId="0" fillId="0" borderId="0" xfId="0" applyNumberFormat="1"/>
    <xf numFmtId="0" fontId="1" fillId="2" borderId="0" xfId="0" applyFont="1" applyFill="1"/>
    <xf numFmtId="0" fontId="0" fillId="0" borderId="0" xfId="0" pivotButton="1"/>
    <xf numFmtId="0" fontId="2" fillId="0" borderId="0" xfId="0" pivotButton="1" applyFont="1"/>
    <xf numFmtId="0" fontId="2" fillId="0" borderId="0" xfId="0" applyFont="1"/>
    <xf numFmtId="166" fontId="2" fillId="0" borderId="0" xfId="0" applyNumberFormat="1" applyFont="1"/>
    <xf numFmtId="0" fontId="0" fillId="0" borderId="0" xfId="0" applyNumberFormat="1"/>
    <xf numFmtId="3" fontId="0" fillId="0" borderId="0" xfId="0" applyNumberFormat="1"/>
    <xf numFmtId="3" fontId="2" fillId="0" borderId="0" xfId="0" applyNumberFormat="1" applyFont="1"/>
    <xf numFmtId="0" fontId="2" fillId="3" borderId="0" xfId="0" applyFont="1" applyFill="1"/>
    <xf numFmtId="166" fontId="2" fillId="3" borderId="0" xfId="0" applyNumberFormat="1" applyFont="1" applyFill="1"/>
    <xf numFmtId="3" fontId="2" fillId="3" borderId="0" xfId="0" applyNumberFormat="1" applyFont="1" applyFill="1"/>
    <xf numFmtId="167" fontId="2" fillId="3" borderId="0" xfId="0" applyNumberFormat="1" applyFont="1" applyFill="1"/>
    <xf numFmtId="0" fontId="2" fillId="3" borderId="0" xfId="0" applyFont="1" applyFill="1" applyAlignment="1">
      <alignment vertical="center"/>
    </xf>
  </cellXfs>
  <cellStyles count="1">
    <cellStyle name="Normal" xfId="0" builtinId="0"/>
  </cellStyles>
  <dxfs count="1730">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numFmt numFmtId="166" formatCode="#,##0,&quot;K&quot;"/>
    </dxf>
    <dxf>
      <numFmt numFmtId="3" formatCode="#,##0"/>
    </dxf>
    <dxf>
      <font>
        <name val="Aptos"/>
        <scheme val="none"/>
      </font>
    </dxf>
    <dxf>
      <font>
        <name val="Aptos"/>
        <scheme val="none"/>
      </font>
    </dxf>
    <dxf>
      <font>
        <name val="Aptos"/>
        <scheme val="none"/>
      </font>
    </dxf>
    <dxf>
      <font>
        <sz val="10"/>
      </font>
    </dxf>
    <dxf>
      <font>
        <sz val="10"/>
      </font>
    </dxf>
    <dxf>
      <font>
        <sz val="10"/>
      </font>
    </dxf>
    <dxf>
      <numFmt numFmtId="3" formatCode="#,##0"/>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name val="Aptos"/>
        <scheme val="none"/>
      </font>
    </dxf>
    <dxf>
      <font>
        <name val="Aptos"/>
        <scheme val="none"/>
      </font>
    </dxf>
    <dxf>
      <font>
        <name val="Aptos"/>
        <scheme val="none"/>
      </font>
    </dxf>
    <dxf>
      <numFmt numFmtId="3" formatCode="#,##0"/>
    </dxf>
    <dxf>
      <numFmt numFmtId="166" formatCode="#,##0,&quot;K&quot;"/>
    </dxf>
    <dxf>
      <numFmt numFmtId="3" formatCode="#,##0"/>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sz val="10"/>
      </font>
    </dxf>
    <dxf>
      <font>
        <sz val="10"/>
      </font>
    </dxf>
    <dxf>
      <font>
        <sz val="10"/>
      </font>
    </dxf>
    <dxf>
      <font>
        <sz val="10"/>
      </font>
    </dxf>
    <dxf>
      <font>
        <sz val="10"/>
      </font>
    </dxf>
    <dxf>
      <font>
        <sz val="10"/>
      </font>
    </dxf>
    <dxf>
      <font>
        <name val="Aptos"/>
        <scheme val="none"/>
      </font>
    </dxf>
    <dxf>
      <font>
        <name val="Aptos"/>
        <scheme val="none"/>
      </font>
    </dxf>
    <dxf>
      <font>
        <name val="Aptos"/>
        <scheme val="none"/>
      </font>
    </dxf>
    <dxf>
      <font>
        <name val="Aptos"/>
        <scheme val="none"/>
      </font>
    </dxf>
    <dxf>
      <font>
        <name val="Aptos"/>
        <scheme val="none"/>
      </font>
    </dxf>
    <dxf>
      <font>
        <name val="Aptos"/>
        <scheme val="none"/>
      </font>
    </dxf>
    <dxf>
      <font>
        <b/>
        <color rgb="FFFFFFFF"/>
      </font>
      <fill>
        <patternFill patternType="solid">
          <fgColor indexed="64"/>
          <bgColor rgb="FF0F4C1F"/>
        </patternFill>
      </fill>
    </dxf>
    <dxf>
      <numFmt numFmtId="166" formatCode="#,##0,&quot;K&quot;"/>
    </dxf>
    <dxf>
      <numFmt numFmtId="166" formatCode="#,##0,&quot;K&quot;"/>
    </dxf>
    <dxf>
      <numFmt numFmtId="166" formatCode="#,##0,&quot;K&quot;"/>
    </dxf>
    <dxf>
      <numFmt numFmtId="165" formatCode="dd\-mmm\-yyyy"/>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5" Type="http://schemas.microsoft.com/office/2007/relationships/slicerCache" Target="slicerCaches/slicerCache1.xml"/><Relationship Id="rId10"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US" sz="1200" b="1">
                <a:solidFill>
                  <a:srgbClr val="054A19"/>
                </a:solidFill>
              </a:rPr>
              <a:t>Expense by Department</a:t>
            </a:r>
          </a:p>
        </c:rich>
      </c:tx>
      <c:overlay val="0"/>
    </c:title>
    <c:autoTitleDeleted val="0"/>
    <c:plotArea>
      <c:layout/>
      <c:barChart>
        <c:barDir val="col"/>
        <c:grouping val="clustered"/>
        <c:varyColors val="0"/>
        <c:ser>
          <c:idx val="0"/>
          <c:order val="0"/>
          <c:tx>
            <c:strRef>
              <c:f>Pivot!$B$50</c:f>
              <c:strCache>
                <c:ptCount val="1"/>
                <c:pt idx="0">
                  <c:v>Amount</c:v>
                </c:pt>
              </c:strCache>
            </c:strRef>
          </c:tx>
          <c:spPr>
            <a:gradFill flip="none" rotWithShape="1">
              <a:gsLst>
                <a:gs pos="0">
                  <a:srgbClr val="0A5D1E"/>
                </a:gs>
                <a:gs pos="100000">
                  <a:srgbClr val="278E29"/>
                </a:gs>
              </a:gsLst>
              <a:lin ang="0" scaled="1"/>
              <a:tileRect/>
            </a:gradFill>
            <a:ln>
              <a:solidFill>
                <a:srgbClr val="064219"/>
              </a:solidFill>
            </a:ln>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Pivot!$A$51:$A$56</c:f>
              <c:strCache>
                <c:ptCount val="6"/>
                <c:pt idx="0">
                  <c:v>Finance</c:v>
                </c:pt>
                <c:pt idx="1">
                  <c:v>Grand Total</c:v>
                </c:pt>
                <c:pt idx="2">
                  <c:v>0</c:v>
                </c:pt>
                <c:pt idx="3">
                  <c:v>0</c:v>
                </c:pt>
                <c:pt idx="4">
                  <c:v>0</c:v>
                </c:pt>
                <c:pt idx="5">
                  <c:v>0</c:v>
                </c:pt>
              </c:strCache>
            </c:strRef>
          </c:cat>
          <c:val>
            <c:numRef>
              <c:f>Pivot!$B$51:$B$56</c:f>
              <c:numCache>
                <c:formatCode>#,##0,"K"</c:formatCode>
                <c:ptCount val="6"/>
                <c:pt idx="0">
                  <c:v>112346</c:v>
                </c:pt>
                <c:pt idx="1">
                  <c:v>112346</c:v>
                </c:pt>
                <c:pt idx="2">
                  <c:v>0</c:v>
                </c:pt>
                <c:pt idx="3">
                  <c:v>0</c:v>
                </c:pt>
                <c:pt idx="4">
                  <c:v>0</c:v>
                </c:pt>
                <c:pt idx="5">
                  <c:v>0</c:v>
                </c:pt>
              </c:numCache>
            </c:numRef>
          </c:val>
          <c:extLst>
            <c:ext xmlns:c16="http://schemas.microsoft.com/office/drawing/2014/chart" uri="{C3380CC4-5D6E-409C-BE32-E72D297353CC}">
              <c16:uniqueId val="{00000000-238E-4D3B-A2BC-947F9FF201E2}"/>
            </c:ext>
          </c:extLst>
        </c:ser>
        <c:dLbls>
          <c:showLegendKey val="0"/>
          <c:showVal val="0"/>
          <c:showCatName val="0"/>
          <c:showSerName val="0"/>
          <c:showPercent val="0"/>
          <c:showBubbleSize val="0"/>
        </c:dLbls>
        <c:gapWidth val="150"/>
        <c:axId val="1785713903"/>
        <c:axId val="1612049455"/>
      </c:barChart>
      <c:catAx>
        <c:axId val="1785713903"/>
        <c:scaling>
          <c:orientation val="minMax"/>
        </c:scaling>
        <c:delete val="0"/>
        <c:axPos val="b"/>
        <c:numFmt formatCode="General" sourceLinked="1"/>
        <c:majorTickMark val="out"/>
        <c:minorTickMark val="none"/>
        <c:tickLblPos val="nextTo"/>
        <c:spPr>
          <a:ln>
            <a:solidFill>
              <a:srgbClr val="D2D2D2"/>
            </a:solidFill>
          </a:ln>
        </c:spPr>
        <c:crossAx val="1612049455"/>
        <c:crosses val="autoZero"/>
        <c:auto val="1"/>
        <c:lblAlgn val="ctr"/>
        <c:lblOffset val="100"/>
        <c:noMultiLvlLbl val="0"/>
      </c:catAx>
      <c:valAx>
        <c:axId val="1612049455"/>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1785713903"/>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US" sz="1200" b="1">
                <a:solidFill>
                  <a:srgbClr val="054A19"/>
                </a:solidFill>
              </a:rPr>
              <a:t>Expense by Category</a:t>
            </a:r>
          </a:p>
        </c:rich>
      </c:tx>
      <c:overlay val="0"/>
    </c:title>
    <c:autoTitleDeleted val="0"/>
    <c:plotArea>
      <c:layout>
        <c:manualLayout>
          <c:xMode val="edge"/>
          <c:yMode val="edge"/>
          <c:x val="3.8807114343426194E-2"/>
          <c:y val="0.14098765432098764"/>
          <c:w val="0.28013726931898869"/>
          <c:h val="0.75592592592592589"/>
        </c:manualLayout>
      </c:layout>
      <c:doughnutChart>
        <c:varyColors val="1"/>
        <c:ser>
          <c:idx val="0"/>
          <c:order val="0"/>
          <c:tx>
            <c:strRef>
              <c:f>Pivot!$E$50</c:f>
              <c:strCache>
                <c:ptCount val="1"/>
                <c:pt idx="0">
                  <c:v>Amount</c:v>
                </c:pt>
              </c:strCache>
            </c:strRef>
          </c:tx>
          <c:dPt>
            <c:idx val="0"/>
            <c:bubble3D val="0"/>
            <c:spPr>
              <a:solidFill>
                <a:srgbClr val="0A5D1E"/>
              </a:solidFill>
              <a:ln>
                <a:solidFill>
                  <a:srgbClr val="FFFFFF"/>
                </a:solidFill>
              </a:ln>
            </c:spPr>
            <c:extLst>
              <c:ext xmlns:c16="http://schemas.microsoft.com/office/drawing/2014/chart" uri="{C3380CC4-5D6E-409C-BE32-E72D297353CC}">
                <c16:uniqueId val="{00000001-EEBD-4039-B3FB-4E67FE6F39BF}"/>
              </c:ext>
            </c:extLst>
          </c:dPt>
          <c:dPt>
            <c:idx val="1"/>
            <c:bubble3D val="0"/>
            <c:spPr>
              <a:solidFill>
                <a:srgbClr val="84C637"/>
              </a:solidFill>
              <a:ln>
                <a:solidFill>
                  <a:srgbClr val="FFFFFF"/>
                </a:solidFill>
              </a:ln>
            </c:spPr>
            <c:extLst>
              <c:ext xmlns:c16="http://schemas.microsoft.com/office/drawing/2014/chart" uri="{C3380CC4-5D6E-409C-BE32-E72D297353CC}">
                <c16:uniqueId val="{00000002-EEBD-4039-B3FB-4E67FE6F39BF}"/>
              </c:ext>
            </c:extLst>
          </c:dPt>
          <c:dPt>
            <c:idx val="2"/>
            <c:bubble3D val="0"/>
            <c:spPr>
              <a:solidFill>
                <a:srgbClr val="5DB13A"/>
              </a:solidFill>
              <a:ln>
                <a:solidFill>
                  <a:srgbClr val="FFFFFF"/>
                </a:solidFill>
              </a:ln>
            </c:spPr>
            <c:extLst>
              <c:ext xmlns:c16="http://schemas.microsoft.com/office/drawing/2014/chart" uri="{C3380CC4-5D6E-409C-BE32-E72D297353CC}">
                <c16:uniqueId val="{00000003-EEBD-4039-B3FB-4E67FE6F39BF}"/>
              </c:ext>
            </c:extLst>
          </c:dPt>
          <c:dPt>
            <c:idx val="3"/>
            <c:bubble3D val="0"/>
            <c:spPr>
              <a:solidFill>
                <a:srgbClr val="168A96"/>
              </a:solidFill>
              <a:ln>
                <a:solidFill>
                  <a:srgbClr val="FFFFFF"/>
                </a:solidFill>
              </a:ln>
            </c:spPr>
            <c:extLst>
              <c:ext xmlns:c16="http://schemas.microsoft.com/office/drawing/2014/chart" uri="{C3380CC4-5D6E-409C-BE32-E72D297353CC}">
                <c16:uniqueId val="{00000004-EEBD-4039-B3FB-4E67FE6F39BF}"/>
              </c:ext>
            </c:extLst>
          </c:dPt>
          <c:dPt>
            <c:idx val="4"/>
            <c:bubble3D val="0"/>
            <c:spPr>
              <a:solidFill>
                <a:srgbClr val="7030A0"/>
              </a:solidFill>
              <a:ln>
                <a:solidFill>
                  <a:srgbClr val="FFFFFF"/>
                </a:solidFill>
              </a:ln>
            </c:spPr>
            <c:extLst>
              <c:ext xmlns:c16="http://schemas.microsoft.com/office/drawing/2014/chart" uri="{C3380CC4-5D6E-409C-BE32-E72D297353CC}">
                <c16:uniqueId val="{00000005-EEBD-4039-B3FB-4E67FE6F39BF}"/>
              </c:ext>
            </c:extLst>
          </c:dPt>
          <c:dPt>
            <c:idx val="5"/>
            <c:bubble3D val="0"/>
            <c:spPr>
              <a:solidFill>
                <a:srgbClr val="618724"/>
              </a:solidFill>
              <a:ln>
                <a:solidFill>
                  <a:srgbClr val="FFFFFF"/>
                </a:solidFill>
              </a:ln>
            </c:spPr>
            <c:extLst>
              <c:ext xmlns:c16="http://schemas.microsoft.com/office/drawing/2014/chart" uri="{C3380CC4-5D6E-409C-BE32-E72D297353CC}">
                <c16:uniqueId val="{00000006-EEBD-4039-B3FB-4E67FE6F39BF}"/>
              </c:ext>
            </c:extLst>
          </c:dPt>
          <c:dLbls>
            <c:numFmt formatCode="#,##0,&quot;K&quot;" sourceLinked="0"/>
            <c:spPr>
              <a:noFill/>
              <a:ln>
                <a:noFill/>
              </a:ln>
              <a:effectLst/>
            </c:spPr>
            <c:txPr>
              <a:bodyPr wrap="square" lIns="38100" tIns="19050" rIns="38100" bIns="19050" anchor="ctr">
                <a:spAutoFit/>
              </a:bodyPr>
              <a:lstStyle/>
              <a:p>
                <a:pPr>
                  <a:defRPr sz="800" b="1">
                    <a:solidFill>
                      <a:srgbClr val="FFFFFF"/>
                    </a:solidFill>
                  </a:defRPr>
                </a:pPr>
                <a:endParaRPr lang="en-PK"/>
              </a:p>
            </c:txPr>
            <c:showLegendKey val="0"/>
            <c:showVal val="1"/>
            <c:showCatName val="0"/>
            <c:showSerName val="0"/>
            <c:showPercent val="0"/>
            <c:showBubbleSize val="0"/>
            <c:showLeaderLines val="0"/>
            <c:extLst>
              <c:ext xmlns:c15="http://schemas.microsoft.com/office/drawing/2012/chart" uri="{CE6537A1-D6FC-4f65-9D91-7224C49458BB}"/>
            </c:extLst>
          </c:dLbls>
          <c:cat>
            <c:strRef>
              <c:f>Pivot!$D$51:$D$56</c:f>
              <c:strCache>
                <c:ptCount val="6"/>
                <c:pt idx="0">
                  <c:v>Office Supplies</c:v>
                </c:pt>
                <c:pt idx="1">
                  <c:v>Grand Total</c:v>
                </c:pt>
                <c:pt idx="2">
                  <c:v>0</c:v>
                </c:pt>
                <c:pt idx="3">
                  <c:v>0</c:v>
                </c:pt>
                <c:pt idx="4">
                  <c:v>0</c:v>
                </c:pt>
                <c:pt idx="5">
                  <c:v>0</c:v>
                </c:pt>
              </c:strCache>
            </c:strRef>
          </c:cat>
          <c:val>
            <c:numRef>
              <c:f>Pivot!$E$51:$E$56</c:f>
              <c:numCache>
                <c:formatCode>#,##0,"K"</c:formatCode>
                <c:ptCount val="6"/>
                <c:pt idx="0">
                  <c:v>112346</c:v>
                </c:pt>
                <c:pt idx="1">
                  <c:v>112346</c:v>
                </c:pt>
                <c:pt idx="2">
                  <c:v>0</c:v>
                </c:pt>
                <c:pt idx="3">
                  <c:v>0</c:v>
                </c:pt>
                <c:pt idx="4">
                  <c:v>0</c:v>
                </c:pt>
                <c:pt idx="5">
                  <c:v>0</c:v>
                </c:pt>
              </c:numCache>
            </c:numRef>
          </c:val>
          <c:extLst>
            <c:ext xmlns:c16="http://schemas.microsoft.com/office/drawing/2014/chart" uri="{C3380CC4-5D6E-409C-BE32-E72D297353CC}">
              <c16:uniqueId val="{00000000-EEBD-4039-B3FB-4E67FE6F39BF}"/>
            </c:ext>
          </c:extLst>
        </c:ser>
        <c:dLbls>
          <c:showLegendKey val="0"/>
          <c:showVal val="0"/>
          <c:showCatName val="0"/>
          <c:showSerName val="0"/>
          <c:showPercent val="0"/>
          <c:showBubbleSize val="0"/>
          <c:showLeaderLines val="0"/>
        </c:dLbls>
        <c:firstSliceAng val="0"/>
        <c:holeSize val="40"/>
      </c:doughnutChart>
      <c:spPr>
        <a:solidFill>
          <a:srgbClr val="FFFFFF"/>
        </a:solidFill>
      </c:spPr>
    </c:plotArea>
    <c:legend>
      <c:legendPos val="r"/>
      <c:layout>
        <c:manualLayout>
          <c:xMode val="edge"/>
          <c:yMode val="edge"/>
          <c:x val="0.53441113861412881"/>
          <c:y val="0.15067901234567901"/>
          <c:w val="0.46558882536096058"/>
          <c:h val="0.72222222222222221"/>
        </c:manualLayout>
      </c:layout>
      <c:overlay val="0"/>
      <c:txPr>
        <a:bodyPr/>
        <a:lstStyle/>
        <a:p>
          <a:pPr>
            <a:defRPr sz="1200"/>
          </a:pPr>
          <a:endParaRPr lang="en-PK"/>
        </a:p>
      </c:txPr>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US" sz="1200" b="1">
                <a:solidFill>
                  <a:srgbClr val="054A19"/>
                </a:solidFill>
              </a:rPr>
              <a:t>Monthly Trend</a:t>
            </a:r>
          </a:p>
        </c:rich>
      </c:tx>
      <c:overlay val="0"/>
    </c:title>
    <c:autoTitleDeleted val="0"/>
    <c:plotArea>
      <c:layout/>
      <c:lineChart>
        <c:grouping val="standard"/>
        <c:varyColors val="0"/>
        <c:ser>
          <c:idx val="0"/>
          <c:order val="0"/>
          <c:tx>
            <c:strRef>
              <c:f>Pivot!$H$50</c:f>
              <c:strCache>
                <c:ptCount val="1"/>
                <c:pt idx="0">
                  <c:v>Amount</c:v>
                </c:pt>
              </c:strCache>
            </c:strRef>
          </c:tx>
          <c:spPr>
            <a:ln w="28575">
              <a:solidFill>
                <a:srgbClr val="08581C"/>
              </a:solidFill>
            </a:ln>
          </c:spPr>
          <c:marker>
            <c:symbol val="circle"/>
            <c:size val="6"/>
            <c:spPr>
              <a:solidFill>
                <a:srgbClr val="278E29"/>
              </a:solidFill>
              <a:ln w="28575">
                <a:solidFill>
                  <a:srgbClr val="08581C"/>
                </a:solidFill>
                <a:prstDash val="solid"/>
              </a:ln>
            </c:spPr>
          </c:marker>
          <c:dLbls>
            <c:numFmt formatCode="#,##0,&quot;K&quot;" sourceLinked="0"/>
            <c:spPr>
              <a:noFill/>
              <a:ln>
                <a:noFill/>
              </a:ln>
              <a:effectLst/>
            </c:spPr>
            <c:txPr>
              <a:bodyPr wrap="square" lIns="38100" tIns="19050" rIns="38100" bIns="19050" anchor="ctr">
                <a:spAutoFit/>
              </a:bodyPr>
              <a:lstStyle/>
              <a:p>
                <a:pPr>
                  <a:defRPr sz="800" b="1">
                    <a:solidFill>
                      <a:srgbClr val="054A19"/>
                    </a:solidFill>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Pivot!$G$51:$G$62</c:f>
              <c:strCache>
                <c:ptCount val="12"/>
                <c:pt idx="0">
                  <c:v>Aug</c:v>
                </c:pt>
                <c:pt idx="1">
                  <c:v>Grand Total</c:v>
                </c:pt>
                <c:pt idx="2">
                  <c:v>0</c:v>
                </c:pt>
                <c:pt idx="3">
                  <c:v>0</c:v>
                </c:pt>
                <c:pt idx="4">
                  <c:v>0</c:v>
                </c:pt>
                <c:pt idx="5">
                  <c:v>0</c:v>
                </c:pt>
                <c:pt idx="6">
                  <c:v>0</c:v>
                </c:pt>
                <c:pt idx="7">
                  <c:v>0</c:v>
                </c:pt>
                <c:pt idx="8">
                  <c:v>0</c:v>
                </c:pt>
                <c:pt idx="9">
                  <c:v>0</c:v>
                </c:pt>
                <c:pt idx="10">
                  <c:v>0</c:v>
                </c:pt>
                <c:pt idx="11">
                  <c:v>0</c:v>
                </c:pt>
              </c:strCache>
            </c:strRef>
          </c:cat>
          <c:val>
            <c:numRef>
              <c:f>Pivot!$H$51:$H$62</c:f>
              <c:numCache>
                <c:formatCode>#,##0,"K"</c:formatCode>
                <c:ptCount val="12"/>
                <c:pt idx="0">
                  <c:v>112346</c:v>
                </c:pt>
                <c:pt idx="1">
                  <c:v>112346</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4ABB-495E-B538-595E67595032}"/>
            </c:ext>
          </c:extLst>
        </c:ser>
        <c:dLbls>
          <c:showLegendKey val="0"/>
          <c:showVal val="0"/>
          <c:showCatName val="0"/>
          <c:showSerName val="0"/>
          <c:showPercent val="0"/>
          <c:showBubbleSize val="0"/>
        </c:dLbls>
        <c:marker val="1"/>
        <c:smooth val="0"/>
        <c:axId val="1794181519"/>
        <c:axId val="1612035535"/>
      </c:lineChart>
      <c:catAx>
        <c:axId val="1794181519"/>
        <c:scaling>
          <c:orientation val="minMax"/>
        </c:scaling>
        <c:delete val="0"/>
        <c:axPos val="b"/>
        <c:numFmt formatCode="General" sourceLinked="1"/>
        <c:majorTickMark val="out"/>
        <c:minorTickMark val="none"/>
        <c:tickLblPos val="nextTo"/>
        <c:spPr>
          <a:ln>
            <a:solidFill>
              <a:srgbClr val="D2D2D2"/>
            </a:solidFill>
          </a:ln>
        </c:spPr>
        <c:crossAx val="1612035535"/>
        <c:crosses val="autoZero"/>
        <c:auto val="1"/>
        <c:lblAlgn val="ctr"/>
        <c:lblOffset val="100"/>
        <c:noMultiLvlLbl val="0"/>
      </c:catAx>
      <c:valAx>
        <c:axId val="1612035535"/>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1794181519"/>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US" sz="1200" b="1">
                <a:solidFill>
                  <a:srgbClr val="054A19"/>
                </a:solidFill>
              </a:rPr>
              <a:t>Budget vs Actual</a:t>
            </a:r>
          </a:p>
        </c:rich>
      </c:tx>
      <c:overlay val="0"/>
    </c:title>
    <c:autoTitleDeleted val="0"/>
    <c:plotArea>
      <c:layout/>
      <c:barChart>
        <c:barDir val="col"/>
        <c:grouping val="clustered"/>
        <c:varyColors val="0"/>
        <c:ser>
          <c:idx val="0"/>
          <c:order val="0"/>
          <c:tx>
            <c:strRef>
              <c:f>Pivot!$N$50</c:f>
              <c:strCache>
                <c:ptCount val="1"/>
                <c:pt idx="0">
                  <c:v>Actual Spent</c:v>
                </c:pt>
              </c:strCache>
            </c:strRef>
          </c:tx>
          <c:spPr>
            <a:solidFill>
              <a:srgbClr val="0A5D1E"/>
            </a:soli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Pivot!$M$51:$M$56</c:f>
              <c:strCache>
                <c:ptCount val="6"/>
                <c:pt idx="0">
                  <c:v>Finance</c:v>
                </c:pt>
                <c:pt idx="1">
                  <c:v>Grand Total</c:v>
                </c:pt>
                <c:pt idx="2">
                  <c:v>0</c:v>
                </c:pt>
                <c:pt idx="3">
                  <c:v>0</c:v>
                </c:pt>
                <c:pt idx="4">
                  <c:v>0</c:v>
                </c:pt>
                <c:pt idx="5">
                  <c:v>0</c:v>
                </c:pt>
              </c:strCache>
            </c:strRef>
          </c:cat>
          <c:val>
            <c:numRef>
              <c:f>Pivot!$N$51:$N$56</c:f>
              <c:numCache>
                <c:formatCode>#,##0,"K"</c:formatCode>
                <c:ptCount val="6"/>
                <c:pt idx="0">
                  <c:v>112346</c:v>
                </c:pt>
                <c:pt idx="1">
                  <c:v>112346</c:v>
                </c:pt>
                <c:pt idx="2">
                  <c:v>0</c:v>
                </c:pt>
                <c:pt idx="3">
                  <c:v>0</c:v>
                </c:pt>
                <c:pt idx="4">
                  <c:v>0</c:v>
                </c:pt>
                <c:pt idx="5">
                  <c:v>0</c:v>
                </c:pt>
              </c:numCache>
            </c:numRef>
          </c:val>
          <c:extLst>
            <c:ext xmlns:c16="http://schemas.microsoft.com/office/drawing/2014/chart" uri="{C3380CC4-5D6E-409C-BE32-E72D297353CC}">
              <c16:uniqueId val="{00000000-2285-4A39-A08B-03EB7365B3BA}"/>
            </c:ext>
          </c:extLst>
        </c:ser>
        <c:ser>
          <c:idx val="1"/>
          <c:order val="1"/>
          <c:tx>
            <c:strRef>
              <c:f>Pivot!$O$50</c:f>
              <c:strCache>
                <c:ptCount val="1"/>
                <c:pt idx="0">
                  <c:v>Budget Allocated</c:v>
                </c:pt>
              </c:strCache>
            </c:strRef>
          </c:tx>
          <c:spPr>
            <a:solidFill>
              <a:srgbClr val="A6D260"/>
            </a:soli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PK"/>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Pivot!$M$51:$M$56</c:f>
              <c:strCache>
                <c:ptCount val="6"/>
                <c:pt idx="0">
                  <c:v>Finance</c:v>
                </c:pt>
                <c:pt idx="1">
                  <c:v>Grand Total</c:v>
                </c:pt>
                <c:pt idx="2">
                  <c:v>0</c:v>
                </c:pt>
                <c:pt idx="3">
                  <c:v>0</c:v>
                </c:pt>
                <c:pt idx="4">
                  <c:v>0</c:v>
                </c:pt>
                <c:pt idx="5">
                  <c:v>0</c:v>
                </c:pt>
              </c:strCache>
            </c:strRef>
          </c:cat>
          <c:val>
            <c:numRef>
              <c:f>Pivot!$O$51:$O$56</c:f>
              <c:numCache>
                <c:formatCode>#,##0,"K"</c:formatCode>
                <c:ptCount val="6"/>
                <c:pt idx="0">
                  <c:v>191867</c:v>
                </c:pt>
                <c:pt idx="1">
                  <c:v>191867</c:v>
                </c:pt>
                <c:pt idx="2">
                  <c:v>0</c:v>
                </c:pt>
                <c:pt idx="3">
                  <c:v>0</c:v>
                </c:pt>
                <c:pt idx="4">
                  <c:v>0</c:v>
                </c:pt>
                <c:pt idx="5">
                  <c:v>0</c:v>
                </c:pt>
              </c:numCache>
            </c:numRef>
          </c:val>
          <c:extLst>
            <c:ext xmlns:c16="http://schemas.microsoft.com/office/drawing/2014/chart" uri="{C3380CC4-5D6E-409C-BE32-E72D297353CC}">
              <c16:uniqueId val="{00000001-2285-4A39-A08B-03EB7365B3BA}"/>
            </c:ext>
          </c:extLst>
        </c:ser>
        <c:dLbls>
          <c:showLegendKey val="0"/>
          <c:showVal val="0"/>
          <c:showCatName val="0"/>
          <c:showSerName val="0"/>
          <c:showPercent val="0"/>
          <c:showBubbleSize val="0"/>
        </c:dLbls>
        <c:gapWidth val="150"/>
        <c:axId val="1899198623"/>
        <c:axId val="1612098415"/>
      </c:barChart>
      <c:catAx>
        <c:axId val="1899198623"/>
        <c:scaling>
          <c:orientation val="minMax"/>
        </c:scaling>
        <c:delete val="0"/>
        <c:axPos val="b"/>
        <c:numFmt formatCode="General" sourceLinked="1"/>
        <c:majorTickMark val="out"/>
        <c:minorTickMark val="none"/>
        <c:tickLblPos val="nextTo"/>
        <c:spPr>
          <a:ln>
            <a:solidFill>
              <a:srgbClr val="D2D2D2"/>
            </a:solidFill>
          </a:ln>
        </c:spPr>
        <c:crossAx val="1612098415"/>
        <c:crosses val="autoZero"/>
        <c:auto val="1"/>
        <c:lblAlgn val="ctr"/>
        <c:lblOffset val="100"/>
        <c:noMultiLvlLbl val="0"/>
      </c:catAx>
      <c:valAx>
        <c:axId val="1612098415"/>
        <c:scaling>
          <c:orientation val="minMax"/>
        </c:scaling>
        <c:delete val="0"/>
        <c:axPos val="l"/>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1899198623"/>
        <c:crosses val="autoZero"/>
        <c:crossBetween val="between"/>
      </c:valAx>
      <c:spPr>
        <a:solidFill>
          <a:srgbClr val="FFFFFF"/>
        </a:solidFill>
      </c:spPr>
    </c:plotArea>
    <c:legend>
      <c:legendPos val="b"/>
      <c:overlay val="0"/>
    </c:legend>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a:lstStyle/>
          <a:p>
            <a:pPr>
              <a:defRPr sz="1200" b="1">
                <a:solidFill>
                  <a:srgbClr val="054A19"/>
                </a:solidFill>
              </a:defRPr>
            </a:pPr>
            <a:r>
              <a:rPr lang="en-US" sz="1200" b="1">
                <a:solidFill>
                  <a:srgbClr val="054A19"/>
                </a:solidFill>
              </a:rPr>
              <a:t>Payment Method</a:t>
            </a:r>
          </a:p>
        </c:rich>
      </c:tx>
      <c:overlay val="0"/>
    </c:title>
    <c:autoTitleDeleted val="0"/>
    <c:plotArea>
      <c:layout/>
      <c:barChart>
        <c:barDir val="bar"/>
        <c:grouping val="clustered"/>
        <c:varyColors val="0"/>
        <c:ser>
          <c:idx val="0"/>
          <c:order val="0"/>
          <c:tx>
            <c:strRef>
              <c:f>Pivot!$K$50</c:f>
              <c:strCache>
                <c:ptCount val="1"/>
                <c:pt idx="0">
                  <c:v>Amount</c:v>
                </c:pt>
              </c:strCache>
            </c:strRef>
          </c:tx>
          <c:spPr>
            <a:gradFill flip="none" rotWithShape="1">
              <a:gsLst>
                <a:gs pos="0">
                  <a:srgbClr val="0A5D1E"/>
                </a:gs>
                <a:gs pos="100000">
                  <a:srgbClr val="278E29"/>
                </a:gs>
              </a:gsLst>
              <a:lin ang="5400000" scaled="1"/>
              <a:tileRect/>
            </a:gradFill>
          </c:spPr>
          <c:invertIfNegative val="0"/>
          <c:dLbls>
            <c:numFmt formatCode="#,##0,&quot;K&quot;" sourceLinked="0"/>
            <c:spPr>
              <a:noFill/>
              <a:ln>
                <a:noFill/>
              </a:ln>
              <a:effectLst/>
            </c:spPr>
            <c:txPr>
              <a:bodyPr wrap="square" lIns="38100" tIns="19050" rIns="38100" bIns="19050" anchor="ctr">
                <a:spAutoFit/>
              </a:bodyPr>
              <a:lstStyle/>
              <a:p>
                <a:pPr>
                  <a:defRPr sz="800" b="1">
                    <a:solidFill>
                      <a:srgbClr val="373737"/>
                    </a:solidFill>
                  </a:defRPr>
                </a:pPr>
                <a:endParaRPr lang="en-PK"/>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Pivot!$J$51:$J$54</c:f>
              <c:strCache>
                <c:ptCount val="4"/>
                <c:pt idx="0">
                  <c:v>UPI</c:v>
                </c:pt>
                <c:pt idx="1">
                  <c:v>Grand Total</c:v>
                </c:pt>
                <c:pt idx="2">
                  <c:v>0</c:v>
                </c:pt>
                <c:pt idx="3">
                  <c:v>0</c:v>
                </c:pt>
              </c:strCache>
            </c:strRef>
          </c:cat>
          <c:val>
            <c:numRef>
              <c:f>Pivot!$K$51:$K$54</c:f>
              <c:numCache>
                <c:formatCode>#,##0,"K"</c:formatCode>
                <c:ptCount val="4"/>
                <c:pt idx="0">
                  <c:v>112346</c:v>
                </c:pt>
                <c:pt idx="1">
                  <c:v>112346</c:v>
                </c:pt>
                <c:pt idx="2">
                  <c:v>0</c:v>
                </c:pt>
                <c:pt idx="3">
                  <c:v>0</c:v>
                </c:pt>
              </c:numCache>
            </c:numRef>
          </c:val>
          <c:extLst>
            <c:ext xmlns:c16="http://schemas.microsoft.com/office/drawing/2014/chart" uri="{C3380CC4-5D6E-409C-BE32-E72D297353CC}">
              <c16:uniqueId val="{00000000-08AB-4BD8-95BB-5D0934FD397D}"/>
            </c:ext>
          </c:extLst>
        </c:ser>
        <c:dLbls>
          <c:showLegendKey val="0"/>
          <c:showVal val="0"/>
          <c:showCatName val="0"/>
          <c:showSerName val="0"/>
          <c:showPercent val="0"/>
          <c:showBubbleSize val="0"/>
        </c:dLbls>
        <c:gapWidth val="70"/>
        <c:axId val="1899189807"/>
        <c:axId val="1612027375"/>
      </c:barChart>
      <c:catAx>
        <c:axId val="1899189807"/>
        <c:scaling>
          <c:orientation val="minMax"/>
        </c:scaling>
        <c:delete val="0"/>
        <c:axPos val="l"/>
        <c:numFmt formatCode="General" sourceLinked="1"/>
        <c:majorTickMark val="out"/>
        <c:minorTickMark val="none"/>
        <c:tickLblPos val="nextTo"/>
        <c:spPr>
          <a:ln>
            <a:solidFill>
              <a:srgbClr val="D2D2D2"/>
            </a:solidFill>
          </a:ln>
        </c:spPr>
        <c:crossAx val="1612027375"/>
        <c:crosses val="autoZero"/>
        <c:auto val="1"/>
        <c:lblAlgn val="ctr"/>
        <c:lblOffset val="100"/>
        <c:noMultiLvlLbl val="0"/>
      </c:catAx>
      <c:valAx>
        <c:axId val="1612027375"/>
        <c:scaling>
          <c:orientation val="minMax"/>
        </c:scaling>
        <c:delete val="0"/>
        <c:axPos val="b"/>
        <c:majorGridlines>
          <c:spPr>
            <a:ln w="6350">
              <a:solidFill>
                <a:srgbClr val="E6EBE6"/>
              </a:solidFill>
            </a:ln>
          </c:spPr>
        </c:majorGridlines>
        <c:numFmt formatCode="#,##0,&quot;K&quot;" sourceLinked="0"/>
        <c:majorTickMark val="out"/>
        <c:minorTickMark val="none"/>
        <c:tickLblPos val="nextTo"/>
        <c:spPr>
          <a:ln>
            <a:solidFill>
              <a:srgbClr val="D2D2D2"/>
            </a:solidFill>
          </a:ln>
        </c:spPr>
        <c:crossAx val="1899189807"/>
        <c:crosses val="autoZero"/>
        <c:crossBetween val="between"/>
      </c:valAx>
      <c:spPr>
        <a:solidFill>
          <a:srgbClr val="FFFFFF"/>
        </a:solidFill>
      </c:spPr>
    </c:plotArea>
    <c:plotVisOnly val="0"/>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FFF"/>
    </a:solidFill>
    <a:ln w="8890">
      <a:solidFill>
        <a:srgbClr val="D0E2CB"/>
      </a:solidFill>
    </a:ln>
  </c:spPr>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30</xdr:col>
      <xdr:colOff>0</xdr:colOff>
      <xdr:row>3</xdr:row>
      <xdr:rowOff>0</xdr:rowOff>
    </xdr:to>
    <xdr:sp macro="" textlink="">
      <xdr:nvSpPr>
        <xdr:cNvPr id="2" name="Header_Banner">
          <a:extLst>
            <a:ext uri="{FF2B5EF4-FFF2-40B4-BE49-F238E27FC236}">
              <a16:creationId xmlns:a16="http://schemas.microsoft.com/office/drawing/2014/main" id="{3C361834-EEC0-9E71-4D43-D39352B239CD}"/>
            </a:ext>
          </a:extLst>
        </xdr:cNvPr>
        <xdr:cNvSpPr/>
      </xdr:nvSpPr>
      <xdr:spPr>
        <a:xfrm>
          <a:off x="0" y="0"/>
          <a:ext cx="16687800" cy="822960"/>
        </a:xfrm>
        <a:prstGeom prst="roundRect">
          <a:avLst/>
        </a:prstGeom>
        <a:gradFill flip="none" rotWithShape="1">
          <a:gsLst>
            <a:gs pos="0">
              <a:srgbClr val="064219"/>
            </a:gs>
            <a:gs pos="100000">
              <a:srgbClr val="11701F"/>
            </a:gs>
          </a:gsLst>
          <a:lin ang="5400000" scaled="1"/>
          <a:tileRect/>
        </a:gra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152400</xdr:colOff>
      <xdr:row>0</xdr:row>
      <xdr:rowOff>144780</xdr:rowOff>
    </xdr:from>
    <xdr:to>
      <xdr:col>1</xdr:col>
      <xdr:colOff>129540</xdr:colOff>
      <xdr:row>2</xdr:row>
      <xdr:rowOff>129540</xdr:rowOff>
    </xdr:to>
    <xdr:sp macro="" textlink="">
      <xdr:nvSpPr>
        <xdr:cNvPr id="3" name="Oval 2">
          <a:extLst>
            <a:ext uri="{FF2B5EF4-FFF2-40B4-BE49-F238E27FC236}">
              <a16:creationId xmlns:a16="http://schemas.microsoft.com/office/drawing/2014/main" id="{56783A14-D6C4-3713-1D36-C7564FBAE0EF}"/>
            </a:ext>
          </a:extLst>
        </xdr:cNvPr>
        <xdr:cNvSpPr/>
      </xdr:nvSpPr>
      <xdr:spPr>
        <a:xfrm>
          <a:off x="152400" y="144780"/>
          <a:ext cx="533400" cy="533400"/>
        </a:xfrm>
        <a:prstGeom prst="ellipse">
          <a:avLst/>
        </a:prstGeom>
        <a:solidFill>
          <a:srgbClr val="0C581E"/>
        </a:solidFill>
        <a:ln>
          <a:solidFill>
            <a:srgbClr val="E6F5E6"/>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K" sz="2200" b="1">
              <a:solidFill>
                <a:srgbClr val="FFFFFF"/>
              </a:solidFill>
            </a:rPr>
            <a:t>$</a:t>
          </a:r>
        </a:p>
      </xdr:txBody>
    </xdr:sp>
    <xdr:clientData/>
  </xdr:twoCellAnchor>
  <xdr:twoCellAnchor>
    <xdr:from>
      <xdr:col>1</xdr:col>
      <xdr:colOff>231140</xdr:colOff>
      <xdr:row>0</xdr:row>
      <xdr:rowOff>0</xdr:rowOff>
    </xdr:from>
    <xdr:to>
      <xdr:col>25</xdr:col>
      <xdr:colOff>139700</xdr:colOff>
      <xdr:row>3</xdr:row>
      <xdr:rowOff>0</xdr:rowOff>
    </xdr:to>
    <xdr:sp macro="" textlink="">
      <xdr:nvSpPr>
        <xdr:cNvPr id="4" name="TextBox 3">
          <a:extLst>
            <a:ext uri="{FF2B5EF4-FFF2-40B4-BE49-F238E27FC236}">
              <a16:creationId xmlns:a16="http://schemas.microsoft.com/office/drawing/2014/main" id="{170CC5F2-DE2F-BC3E-93BA-A395574F4481}"/>
            </a:ext>
          </a:extLst>
        </xdr:cNvPr>
        <xdr:cNvSpPr txBox="1"/>
      </xdr:nvSpPr>
      <xdr:spPr>
        <a:xfrm>
          <a:off x="787400" y="0"/>
          <a:ext cx="13258800" cy="8229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none" rtlCol="0" anchor="ctr">
          <a:noAutofit/>
        </a:bodyPr>
        <a:lstStyle/>
        <a:p>
          <a:pPr algn="ctr"/>
          <a:r>
            <a:rPr lang="en-US" sz="4400" b="1">
              <a:solidFill>
                <a:srgbClr val="FFFFFF"/>
              </a:solidFill>
            </a:rPr>
            <a:t>EXPENSES DASHBOARD</a:t>
          </a:r>
          <a:endParaRPr lang="en-PK" sz="4400" b="1">
            <a:solidFill>
              <a:srgbClr val="FFFFFF"/>
            </a:solidFill>
          </a:endParaRPr>
        </a:p>
      </xdr:txBody>
    </xdr:sp>
    <xdr:clientData/>
  </xdr:twoCellAnchor>
  <xdr:twoCellAnchor>
    <xdr:from>
      <xdr:col>25</xdr:col>
      <xdr:colOff>241300</xdr:colOff>
      <xdr:row>0</xdr:row>
      <xdr:rowOff>50800</xdr:rowOff>
    </xdr:from>
    <xdr:to>
      <xdr:col>29</xdr:col>
      <xdr:colOff>429260</xdr:colOff>
      <xdr:row>2</xdr:row>
      <xdr:rowOff>223520</xdr:rowOff>
    </xdr:to>
    <xdr:sp macro="" textlink="">
      <xdr:nvSpPr>
        <xdr:cNvPr id="5" name="TextBox 4">
          <a:extLst>
            <a:ext uri="{FF2B5EF4-FFF2-40B4-BE49-F238E27FC236}">
              <a16:creationId xmlns:a16="http://schemas.microsoft.com/office/drawing/2014/main" id="{51461F66-7DF0-2F6B-AE67-A5E7EC78DC1E}"/>
            </a:ext>
          </a:extLst>
        </xdr:cNvPr>
        <xdr:cNvSpPr txBox="1"/>
      </xdr:nvSpPr>
      <xdr:spPr>
        <a:xfrm>
          <a:off x="14147800" y="50800"/>
          <a:ext cx="2413000" cy="72136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wrap="square" rtlCol="0" anchor="ctr">
          <a:noAutofit/>
        </a:bodyPr>
        <a:lstStyle/>
        <a:p>
          <a:pPr algn="ctr"/>
          <a:r>
            <a:rPr lang="en-US" sz="1800" b="1">
              <a:solidFill>
                <a:srgbClr val="FFFFFF"/>
              </a:solidFill>
            </a:rPr>
            <a:t>Data as of:</a:t>
          </a:r>
        </a:p>
        <a:p>
          <a:pPr algn="ctr"/>
          <a:r>
            <a:rPr lang="en-US" sz="1800" b="1">
              <a:solidFill>
                <a:srgbClr val="FFFFFF"/>
              </a:solidFill>
            </a:rPr>
            <a:t>Jul 16, 2026</a:t>
          </a:r>
          <a:endParaRPr lang="en-PK" sz="1800" b="1">
            <a:solidFill>
              <a:srgbClr val="FFFFFF"/>
            </a:solidFill>
          </a:endParaRPr>
        </a:p>
      </xdr:txBody>
    </xdr:sp>
    <xdr:clientData/>
  </xdr:twoCellAnchor>
  <xdr:twoCellAnchor>
    <xdr:from>
      <xdr:col>0</xdr:col>
      <xdr:colOff>0</xdr:colOff>
      <xdr:row>4</xdr:row>
      <xdr:rowOff>0</xdr:rowOff>
    </xdr:from>
    <xdr:to>
      <xdr:col>5</xdr:col>
      <xdr:colOff>0</xdr:colOff>
      <xdr:row>8</xdr:row>
      <xdr:rowOff>0</xdr:rowOff>
    </xdr:to>
    <xdr:sp macro="" textlink="">
      <xdr:nvSpPr>
        <xdr:cNvPr id="6" name="Rectangle: Rounded Corners 5">
          <a:extLst>
            <a:ext uri="{FF2B5EF4-FFF2-40B4-BE49-F238E27FC236}">
              <a16:creationId xmlns:a16="http://schemas.microsoft.com/office/drawing/2014/main" id="{10CA5A7F-DA4E-8A9A-235B-5B258B4AFDB9}"/>
            </a:ext>
          </a:extLst>
        </xdr:cNvPr>
        <xdr:cNvSpPr/>
      </xdr:nvSpPr>
      <xdr:spPr>
        <a:xfrm>
          <a:off x="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0</xdr:col>
      <xdr:colOff>127000</xdr:colOff>
      <xdr:row>4</xdr:row>
      <xdr:rowOff>203200</xdr:rowOff>
    </xdr:from>
    <xdr:to>
      <xdr:col>1</xdr:col>
      <xdr:colOff>53340</xdr:colOff>
      <xdr:row>7</xdr:row>
      <xdr:rowOff>0</xdr:rowOff>
    </xdr:to>
    <xdr:sp macro="" textlink="">
      <xdr:nvSpPr>
        <xdr:cNvPr id="7" name="Oval 6">
          <a:extLst>
            <a:ext uri="{FF2B5EF4-FFF2-40B4-BE49-F238E27FC236}">
              <a16:creationId xmlns:a16="http://schemas.microsoft.com/office/drawing/2014/main" id="{815FEA6B-5C5F-7116-D4F9-AFDE5CAEF86A}"/>
            </a:ext>
          </a:extLst>
        </xdr:cNvPr>
        <xdr:cNvSpPr/>
      </xdr:nvSpPr>
      <xdr:spPr>
        <a:xfrm>
          <a:off x="127000" y="1254760"/>
          <a:ext cx="482600" cy="482600"/>
        </a:xfrm>
        <a:prstGeom prst="ellipse">
          <a:avLst/>
        </a:prstGeom>
        <a:gradFill flip="none" rotWithShape="1">
          <a:gsLst>
            <a:gs pos="0">
              <a:srgbClr val="157D18"/>
            </a:gs>
            <a:gs pos="100000">
              <a:srgbClr val="085019"/>
            </a:gs>
          </a:gsLst>
          <a:lin ang="2700000" scaled="1"/>
          <a:tileRect/>
        </a:gra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K" sz="1300" b="1">
              <a:solidFill>
                <a:srgbClr val="FFFFFF"/>
              </a:solidFill>
            </a:rPr>
            <a:t>$</a:t>
          </a:r>
        </a:p>
      </xdr:txBody>
    </xdr:sp>
    <xdr:clientData/>
  </xdr:twoCellAnchor>
  <xdr:twoCellAnchor>
    <xdr:from>
      <xdr:col>1</xdr:col>
      <xdr:colOff>129540</xdr:colOff>
      <xdr:row>4</xdr:row>
      <xdr:rowOff>101600</xdr:rowOff>
    </xdr:from>
    <xdr:to>
      <xdr:col>4</xdr:col>
      <xdr:colOff>505460</xdr:colOff>
      <xdr:row>5</xdr:row>
      <xdr:rowOff>152400</xdr:rowOff>
    </xdr:to>
    <xdr:sp macro="" textlink="">
      <xdr:nvSpPr>
        <xdr:cNvPr id="8" name="TextBox 7">
          <a:extLst>
            <a:ext uri="{FF2B5EF4-FFF2-40B4-BE49-F238E27FC236}">
              <a16:creationId xmlns:a16="http://schemas.microsoft.com/office/drawing/2014/main" id="{A9AA7174-0C50-A29F-F74D-AA2038FEF452}"/>
            </a:ext>
          </a:extLst>
        </xdr:cNvPr>
        <xdr:cNvSpPr txBox="1"/>
      </xdr:nvSpPr>
      <xdr:spPr>
        <a:xfrm>
          <a:off x="6858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800" b="1">
              <a:solidFill>
                <a:srgbClr val="2D412D"/>
              </a:solidFill>
            </a:rPr>
            <a:t>Total Expenses</a:t>
          </a:r>
          <a:endParaRPr lang="en-PK" sz="1800" b="1">
            <a:solidFill>
              <a:srgbClr val="2D412D"/>
            </a:solidFill>
          </a:endParaRPr>
        </a:p>
      </xdr:txBody>
    </xdr:sp>
    <xdr:clientData/>
  </xdr:twoCellAnchor>
  <xdr:twoCellAnchor>
    <xdr:from>
      <xdr:col>1</xdr:col>
      <xdr:colOff>129540</xdr:colOff>
      <xdr:row>5</xdr:row>
      <xdr:rowOff>139700</xdr:rowOff>
    </xdr:from>
    <xdr:to>
      <xdr:col>4</xdr:col>
      <xdr:colOff>505460</xdr:colOff>
      <xdr:row>7</xdr:row>
      <xdr:rowOff>114300</xdr:rowOff>
    </xdr:to>
    <xdr:sp macro="" textlink="Dashboard!$AF$2">
      <xdr:nvSpPr>
        <xdr:cNvPr id="9" name="TextBox 8">
          <a:extLst>
            <a:ext uri="{FF2B5EF4-FFF2-40B4-BE49-F238E27FC236}">
              <a16:creationId xmlns:a16="http://schemas.microsoft.com/office/drawing/2014/main" id="{2CAF0C83-C2CE-9737-61F2-1E439BD03175}"/>
            </a:ext>
          </a:extLst>
        </xdr:cNvPr>
        <xdr:cNvSpPr txBox="1"/>
      </xdr:nvSpPr>
      <xdr:spPr>
        <a:xfrm>
          <a:off x="6858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20635130-AA4A-49AE-A72D-58030A686D73}" type="TxLink">
            <a:rPr lang="en-US" sz="2800" b="1" i="0" u="none" strike="noStrike">
              <a:solidFill>
                <a:srgbClr val="054A19"/>
              </a:solidFill>
              <a:latin typeface="Aptos"/>
            </a:rPr>
            <a:t>112K</a:t>
          </a:fld>
          <a:endParaRPr lang="en-PK" sz="2800" b="1">
            <a:solidFill>
              <a:srgbClr val="054A19"/>
            </a:solidFill>
          </a:endParaRPr>
        </a:p>
      </xdr:txBody>
    </xdr:sp>
    <xdr:clientData/>
  </xdr:twoCellAnchor>
  <xdr:twoCellAnchor>
    <xdr:from>
      <xdr:col>1</xdr:col>
      <xdr:colOff>129540</xdr:colOff>
      <xdr:row>7</xdr:row>
      <xdr:rowOff>50800</xdr:rowOff>
    </xdr:from>
    <xdr:to>
      <xdr:col>4</xdr:col>
      <xdr:colOff>505460</xdr:colOff>
      <xdr:row>7</xdr:row>
      <xdr:rowOff>215900</xdr:rowOff>
    </xdr:to>
    <xdr:sp macro="" textlink="">
      <xdr:nvSpPr>
        <xdr:cNvPr id="10" name="TextBox 9">
          <a:extLst>
            <a:ext uri="{FF2B5EF4-FFF2-40B4-BE49-F238E27FC236}">
              <a16:creationId xmlns:a16="http://schemas.microsoft.com/office/drawing/2014/main" id="{0381881E-B69A-01FC-D309-09B66C9A683A}"/>
            </a:ext>
          </a:extLst>
        </xdr:cNvPr>
        <xdr:cNvSpPr txBox="1"/>
      </xdr:nvSpPr>
      <xdr:spPr>
        <a:xfrm>
          <a:off x="6858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05F50"/>
              </a:solidFill>
            </a:rPr>
            <a:t>Total Spend</a:t>
          </a:r>
          <a:endParaRPr lang="en-PK" sz="800">
            <a:solidFill>
              <a:srgbClr val="505F50"/>
            </a:solidFill>
          </a:endParaRPr>
        </a:p>
      </xdr:txBody>
    </xdr:sp>
    <xdr:clientData/>
  </xdr:twoCellAnchor>
  <xdr:twoCellAnchor>
    <xdr:from>
      <xdr:col>5</xdr:col>
      <xdr:colOff>0</xdr:colOff>
      <xdr:row>4</xdr:row>
      <xdr:rowOff>0</xdr:rowOff>
    </xdr:from>
    <xdr:to>
      <xdr:col>10</xdr:col>
      <xdr:colOff>0</xdr:colOff>
      <xdr:row>8</xdr:row>
      <xdr:rowOff>0</xdr:rowOff>
    </xdr:to>
    <xdr:sp macro="" textlink="">
      <xdr:nvSpPr>
        <xdr:cNvPr id="11" name="Rectangle: Rounded Corners 10">
          <a:extLst>
            <a:ext uri="{FF2B5EF4-FFF2-40B4-BE49-F238E27FC236}">
              <a16:creationId xmlns:a16="http://schemas.microsoft.com/office/drawing/2014/main" id="{F8D86EE7-B538-9CDF-656B-4E37946E95AA}"/>
            </a:ext>
          </a:extLst>
        </xdr:cNvPr>
        <xdr:cNvSpPr/>
      </xdr:nvSpPr>
      <xdr:spPr>
        <a:xfrm>
          <a:off x="278130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5</xdr:col>
      <xdr:colOff>127000</xdr:colOff>
      <xdr:row>4</xdr:row>
      <xdr:rowOff>203200</xdr:rowOff>
    </xdr:from>
    <xdr:to>
      <xdr:col>6</xdr:col>
      <xdr:colOff>53340</xdr:colOff>
      <xdr:row>7</xdr:row>
      <xdr:rowOff>0</xdr:rowOff>
    </xdr:to>
    <xdr:sp macro="" textlink="">
      <xdr:nvSpPr>
        <xdr:cNvPr id="12" name="Oval 11">
          <a:extLst>
            <a:ext uri="{FF2B5EF4-FFF2-40B4-BE49-F238E27FC236}">
              <a16:creationId xmlns:a16="http://schemas.microsoft.com/office/drawing/2014/main" id="{09E77E14-B47C-3A15-E661-C4D11C858649}"/>
            </a:ext>
          </a:extLst>
        </xdr:cNvPr>
        <xdr:cNvSpPr/>
      </xdr:nvSpPr>
      <xdr:spPr>
        <a:xfrm>
          <a:off x="2908300" y="1254760"/>
          <a:ext cx="482600" cy="482600"/>
        </a:xfrm>
        <a:prstGeom prst="ellipse">
          <a:avLst/>
        </a:prstGeom>
        <a:gradFill flip="none" rotWithShape="1">
          <a:gsLst>
            <a:gs pos="0">
              <a:srgbClr val="439820"/>
            </a:gs>
            <a:gs pos="100000">
              <a:srgbClr val="085019"/>
            </a:gs>
          </a:gsLst>
          <a:lin ang="2700000" scaled="1"/>
          <a:tileRect/>
        </a:gra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K" sz="1300" b="1">
              <a:solidFill>
                <a:srgbClr val="FFFFFF"/>
              </a:solidFill>
            </a:rPr>
            <a:t>%</a:t>
          </a:r>
        </a:p>
      </xdr:txBody>
    </xdr:sp>
    <xdr:clientData/>
  </xdr:twoCellAnchor>
  <xdr:twoCellAnchor>
    <xdr:from>
      <xdr:col>6</xdr:col>
      <xdr:colOff>129540</xdr:colOff>
      <xdr:row>4</xdr:row>
      <xdr:rowOff>101600</xdr:rowOff>
    </xdr:from>
    <xdr:to>
      <xdr:col>9</xdr:col>
      <xdr:colOff>505460</xdr:colOff>
      <xdr:row>5</xdr:row>
      <xdr:rowOff>152400</xdr:rowOff>
    </xdr:to>
    <xdr:sp macro="" textlink="">
      <xdr:nvSpPr>
        <xdr:cNvPr id="13" name="TextBox 12">
          <a:extLst>
            <a:ext uri="{FF2B5EF4-FFF2-40B4-BE49-F238E27FC236}">
              <a16:creationId xmlns:a16="http://schemas.microsoft.com/office/drawing/2014/main" id="{43F21F1B-C7CD-F6F5-A62E-C47F7B1836B7}"/>
            </a:ext>
          </a:extLst>
        </xdr:cNvPr>
        <xdr:cNvSpPr txBox="1"/>
      </xdr:nvSpPr>
      <xdr:spPr>
        <a:xfrm>
          <a:off x="34671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800" b="1">
              <a:solidFill>
                <a:srgbClr val="2D412D"/>
              </a:solidFill>
            </a:rPr>
            <a:t>Budget Allocated</a:t>
          </a:r>
          <a:endParaRPr lang="en-PK" sz="1800" b="1">
            <a:solidFill>
              <a:srgbClr val="2D412D"/>
            </a:solidFill>
          </a:endParaRPr>
        </a:p>
      </xdr:txBody>
    </xdr:sp>
    <xdr:clientData/>
  </xdr:twoCellAnchor>
  <xdr:twoCellAnchor>
    <xdr:from>
      <xdr:col>6</xdr:col>
      <xdr:colOff>129540</xdr:colOff>
      <xdr:row>5</xdr:row>
      <xdr:rowOff>139700</xdr:rowOff>
    </xdr:from>
    <xdr:to>
      <xdr:col>9</xdr:col>
      <xdr:colOff>505460</xdr:colOff>
      <xdr:row>7</xdr:row>
      <xdr:rowOff>114300</xdr:rowOff>
    </xdr:to>
    <xdr:sp macro="" textlink="Dashboard!$AF$3">
      <xdr:nvSpPr>
        <xdr:cNvPr id="14" name="TextBox 13">
          <a:extLst>
            <a:ext uri="{FF2B5EF4-FFF2-40B4-BE49-F238E27FC236}">
              <a16:creationId xmlns:a16="http://schemas.microsoft.com/office/drawing/2014/main" id="{1B3350E4-44EC-F026-EABB-534269879CCB}"/>
            </a:ext>
          </a:extLst>
        </xdr:cNvPr>
        <xdr:cNvSpPr txBox="1"/>
      </xdr:nvSpPr>
      <xdr:spPr>
        <a:xfrm>
          <a:off x="34671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B9B23E48-3CED-484F-A6E6-D57C9ECE56B7}" type="TxLink">
            <a:rPr lang="en-US" sz="2800" b="1" i="0" u="none" strike="noStrike">
              <a:solidFill>
                <a:srgbClr val="054A19"/>
              </a:solidFill>
              <a:latin typeface="Aptos"/>
            </a:rPr>
            <a:t>192K</a:t>
          </a:fld>
          <a:endParaRPr lang="en-PK" sz="2800" b="1">
            <a:solidFill>
              <a:srgbClr val="054A19"/>
            </a:solidFill>
          </a:endParaRPr>
        </a:p>
      </xdr:txBody>
    </xdr:sp>
    <xdr:clientData/>
  </xdr:twoCellAnchor>
  <xdr:twoCellAnchor>
    <xdr:from>
      <xdr:col>6</xdr:col>
      <xdr:colOff>129540</xdr:colOff>
      <xdr:row>7</xdr:row>
      <xdr:rowOff>50800</xdr:rowOff>
    </xdr:from>
    <xdr:to>
      <xdr:col>9</xdr:col>
      <xdr:colOff>505460</xdr:colOff>
      <xdr:row>7</xdr:row>
      <xdr:rowOff>215900</xdr:rowOff>
    </xdr:to>
    <xdr:sp macro="" textlink="">
      <xdr:nvSpPr>
        <xdr:cNvPr id="15" name="TextBox 14">
          <a:extLst>
            <a:ext uri="{FF2B5EF4-FFF2-40B4-BE49-F238E27FC236}">
              <a16:creationId xmlns:a16="http://schemas.microsoft.com/office/drawing/2014/main" id="{E4E7A99C-1450-68AF-1912-435297C0E2D8}"/>
            </a:ext>
          </a:extLst>
        </xdr:cNvPr>
        <xdr:cNvSpPr txBox="1"/>
      </xdr:nvSpPr>
      <xdr:spPr>
        <a:xfrm>
          <a:off x="34671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05F50"/>
              </a:solidFill>
            </a:rPr>
            <a:t>100% of Plan</a:t>
          </a:r>
          <a:endParaRPr lang="en-PK" sz="800">
            <a:solidFill>
              <a:srgbClr val="505F50"/>
            </a:solidFill>
          </a:endParaRPr>
        </a:p>
      </xdr:txBody>
    </xdr:sp>
    <xdr:clientData/>
  </xdr:twoCellAnchor>
  <xdr:twoCellAnchor>
    <xdr:from>
      <xdr:col>10</xdr:col>
      <xdr:colOff>0</xdr:colOff>
      <xdr:row>4</xdr:row>
      <xdr:rowOff>0</xdr:rowOff>
    </xdr:from>
    <xdr:to>
      <xdr:col>15</xdr:col>
      <xdr:colOff>0</xdr:colOff>
      <xdr:row>8</xdr:row>
      <xdr:rowOff>0</xdr:rowOff>
    </xdr:to>
    <xdr:sp macro="" textlink="">
      <xdr:nvSpPr>
        <xdr:cNvPr id="16" name="Rectangle: Rounded Corners 15">
          <a:extLst>
            <a:ext uri="{FF2B5EF4-FFF2-40B4-BE49-F238E27FC236}">
              <a16:creationId xmlns:a16="http://schemas.microsoft.com/office/drawing/2014/main" id="{1836509A-DD62-5C11-C4EF-6F295FA14E2A}"/>
            </a:ext>
          </a:extLst>
        </xdr:cNvPr>
        <xdr:cNvSpPr/>
      </xdr:nvSpPr>
      <xdr:spPr>
        <a:xfrm>
          <a:off x="556260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10</xdr:col>
      <xdr:colOff>127000</xdr:colOff>
      <xdr:row>4</xdr:row>
      <xdr:rowOff>203200</xdr:rowOff>
    </xdr:from>
    <xdr:to>
      <xdr:col>11</xdr:col>
      <xdr:colOff>53340</xdr:colOff>
      <xdr:row>7</xdr:row>
      <xdr:rowOff>0</xdr:rowOff>
    </xdr:to>
    <xdr:sp macro="" textlink="">
      <xdr:nvSpPr>
        <xdr:cNvPr id="17" name="Oval 16">
          <a:extLst>
            <a:ext uri="{FF2B5EF4-FFF2-40B4-BE49-F238E27FC236}">
              <a16:creationId xmlns:a16="http://schemas.microsoft.com/office/drawing/2014/main" id="{DB706643-EFFD-D460-DDF5-86CFCFD23DAC}"/>
            </a:ext>
          </a:extLst>
        </xdr:cNvPr>
        <xdr:cNvSpPr/>
      </xdr:nvSpPr>
      <xdr:spPr>
        <a:xfrm>
          <a:off x="5689600" y="1254760"/>
          <a:ext cx="482600" cy="482600"/>
        </a:xfrm>
        <a:prstGeom prst="ellipse">
          <a:avLst/>
        </a:prstGeom>
        <a:gradFill flip="none" rotWithShape="1">
          <a:gsLst>
            <a:gs pos="0">
              <a:srgbClr val="5DAB39"/>
            </a:gs>
            <a:gs pos="100000">
              <a:srgbClr val="085019"/>
            </a:gs>
          </a:gsLst>
          <a:lin ang="2700000" scaled="1"/>
          <a:tileRect/>
        </a:gra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K" sz="1300" b="1">
              <a:solidFill>
                <a:srgbClr val="FFFFFF"/>
              </a:solidFill>
            </a:rPr>
            <a:t>$</a:t>
          </a:r>
        </a:p>
      </xdr:txBody>
    </xdr:sp>
    <xdr:clientData/>
  </xdr:twoCellAnchor>
  <xdr:twoCellAnchor>
    <xdr:from>
      <xdr:col>11</xdr:col>
      <xdr:colOff>129540</xdr:colOff>
      <xdr:row>4</xdr:row>
      <xdr:rowOff>101600</xdr:rowOff>
    </xdr:from>
    <xdr:to>
      <xdr:col>14</xdr:col>
      <xdr:colOff>505460</xdr:colOff>
      <xdr:row>5</xdr:row>
      <xdr:rowOff>152400</xdr:rowOff>
    </xdr:to>
    <xdr:sp macro="" textlink="">
      <xdr:nvSpPr>
        <xdr:cNvPr id="18" name="TextBox 17">
          <a:extLst>
            <a:ext uri="{FF2B5EF4-FFF2-40B4-BE49-F238E27FC236}">
              <a16:creationId xmlns:a16="http://schemas.microsoft.com/office/drawing/2014/main" id="{959CB2C9-F7BE-1382-9A98-F0AB5489250A}"/>
            </a:ext>
          </a:extLst>
        </xdr:cNvPr>
        <xdr:cNvSpPr txBox="1"/>
      </xdr:nvSpPr>
      <xdr:spPr>
        <a:xfrm>
          <a:off x="62484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800" b="1">
              <a:solidFill>
                <a:srgbClr val="2D412D"/>
              </a:solidFill>
            </a:rPr>
            <a:t>Budget Remaining</a:t>
          </a:r>
          <a:endParaRPr lang="en-PK" sz="1800" b="1">
            <a:solidFill>
              <a:srgbClr val="2D412D"/>
            </a:solidFill>
          </a:endParaRPr>
        </a:p>
      </xdr:txBody>
    </xdr:sp>
    <xdr:clientData/>
  </xdr:twoCellAnchor>
  <xdr:twoCellAnchor>
    <xdr:from>
      <xdr:col>11</xdr:col>
      <xdr:colOff>129540</xdr:colOff>
      <xdr:row>5</xdr:row>
      <xdr:rowOff>139700</xdr:rowOff>
    </xdr:from>
    <xdr:to>
      <xdr:col>14</xdr:col>
      <xdr:colOff>505460</xdr:colOff>
      <xdr:row>7</xdr:row>
      <xdr:rowOff>114300</xdr:rowOff>
    </xdr:to>
    <xdr:sp macro="" textlink="Dashboard!$AF$4">
      <xdr:nvSpPr>
        <xdr:cNvPr id="19" name="TextBox 18">
          <a:extLst>
            <a:ext uri="{FF2B5EF4-FFF2-40B4-BE49-F238E27FC236}">
              <a16:creationId xmlns:a16="http://schemas.microsoft.com/office/drawing/2014/main" id="{384AC117-3D26-A006-8297-96A2BB7C4952}"/>
            </a:ext>
          </a:extLst>
        </xdr:cNvPr>
        <xdr:cNvSpPr txBox="1"/>
      </xdr:nvSpPr>
      <xdr:spPr>
        <a:xfrm>
          <a:off x="62484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04778A8D-FFF0-4FC9-BE9D-773248F1A575}" type="TxLink">
            <a:rPr lang="en-US" sz="2800" b="1" i="0" u="none" strike="noStrike">
              <a:solidFill>
                <a:srgbClr val="054A19"/>
              </a:solidFill>
              <a:latin typeface="Aptos"/>
            </a:rPr>
            <a:t>80K</a:t>
          </a:fld>
          <a:endParaRPr lang="en-PK" sz="2800" b="1">
            <a:solidFill>
              <a:srgbClr val="054A19"/>
            </a:solidFill>
          </a:endParaRPr>
        </a:p>
      </xdr:txBody>
    </xdr:sp>
    <xdr:clientData/>
  </xdr:twoCellAnchor>
  <xdr:twoCellAnchor>
    <xdr:from>
      <xdr:col>11</xdr:col>
      <xdr:colOff>129540</xdr:colOff>
      <xdr:row>7</xdr:row>
      <xdr:rowOff>50800</xdr:rowOff>
    </xdr:from>
    <xdr:to>
      <xdr:col>14</xdr:col>
      <xdr:colOff>505460</xdr:colOff>
      <xdr:row>7</xdr:row>
      <xdr:rowOff>215900</xdr:rowOff>
    </xdr:to>
    <xdr:sp macro="" textlink="">
      <xdr:nvSpPr>
        <xdr:cNvPr id="20" name="TextBox 19">
          <a:extLst>
            <a:ext uri="{FF2B5EF4-FFF2-40B4-BE49-F238E27FC236}">
              <a16:creationId xmlns:a16="http://schemas.microsoft.com/office/drawing/2014/main" id="{5103F366-3B05-3C6F-A985-1DF9B834C6E5}"/>
            </a:ext>
          </a:extLst>
        </xdr:cNvPr>
        <xdr:cNvSpPr txBox="1"/>
      </xdr:nvSpPr>
      <xdr:spPr>
        <a:xfrm>
          <a:off x="62484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05F50"/>
              </a:solidFill>
            </a:rPr>
            <a:t>Remaining Budget</a:t>
          </a:r>
          <a:endParaRPr lang="en-PK" sz="800">
            <a:solidFill>
              <a:srgbClr val="505F50"/>
            </a:solidFill>
          </a:endParaRPr>
        </a:p>
      </xdr:txBody>
    </xdr:sp>
    <xdr:clientData/>
  </xdr:twoCellAnchor>
  <xdr:twoCellAnchor>
    <xdr:from>
      <xdr:col>15</xdr:col>
      <xdr:colOff>0</xdr:colOff>
      <xdr:row>4</xdr:row>
      <xdr:rowOff>0</xdr:rowOff>
    </xdr:from>
    <xdr:to>
      <xdr:col>20</xdr:col>
      <xdr:colOff>0</xdr:colOff>
      <xdr:row>8</xdr:row>
      <xdr:rowOff>0</xdr:rowOff>
    </xdr:to>
    <xdr:sp macro="" textlink="">
      <xdr:nvSpPr>
        <xdr:cNvPr id="21" name="Rectangle: Rounded Corners 20">
          <a:extLst>
            <a:ext uri="{FF2B5EF4-FFF2-40B4-BE49-F238E27FC236}">
              <a16:creationId xmlns:a16="http://schemas.microsoft.com/office/drawing/2014/main" id="{88FF4C92-AA21-4210-C6B5-40FC3587300F}"/>
            </a:ext>
          </a:extLst>
        </xdr:cNvPr>
        <xdr:cNvSpPr/>
      </xdr:nvSpPr>
      <xdr:spPr>
        <a:xfrm>
          <a:off x="834390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15</xdr:col>
      <xdr:colOff>127000</xdr:colOff>
      <xdr:row>4</xdr:row>
      <xdr:rowOff>203200</xdr:rowOff>
    </xdr:from>
    <xdr:to>
      <xdr:col>16</xdr:col>
      <xdr:colOff>53340</xdr:colOff>
      <xdr:row>7</xdr:row>
      <xdr:rowOff>0</xdr:rowOff>
    </xdr:to>
    <xdr:sp macro="" textlink="">
      <xdr:nvSpPr>
        <xdr:cNvPr id="22" name="Oval 21">
          <a:extLst>
            <a:ext uri="{FF2B5EF4-FFF2-40B4-BE49-F238E27FC236}">
              <a16:creationId xmlns:a16="http://schemas.microsoft.com/office/drawing/2014/main" id="{AF97273D-7D09-EB5B-B5B4-C652AFDFE6EE}"/>
            </a:ext>
          </a:extLst>
        </xdr:cNvPr>
        <xdr:cNvSpPr/>
      </xdr:nvSpPr>
      <xdr:spPr>
        <a:xfrm>
          <a:off x="8470900" y="1254760"/>
          <a:ext cx="482600" cy="482600"/>
        </a:xfrm>
        <a:prstGeom prst="ellipse">
          <a:avLst/>
        </a:prstGeom>
        <a:gradFill flip="none" rotWithShape="1">
          <a:gsLst>
            <a:gs pos="0">
              <a:srgbClr val="11793A"/>
            </a:gs>
            <a:gs pos="100000">
              <a:srgbClr val="085019"/>
            </a:gs>
          </a:gsLst>
          <a:lin ang="2700000" scaled="1"/>
          <a:tileRect/>
        </a:gra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K" sz="1300" b="1">
              <a:solidFill>
                <a:srgbClr val="FFFFFF"/>
              </a:solidFill>
            </a:rPr>
            <a:t>#</a:t>
          </a:r>
        </a:p>
      </xdr:txBody>
    </xdr:sp>
    <xdr:clientData/>
  </xdr:twoCellAnchor>
  <xdr:twoCellAnchor>
    <xdr:from>
      <xdr:col>16</xdr:col>
      <xdr:colOff>129540</xdr:colOff>
      <xdr:row>4</xdr:row>
      <xdr:rowOff>101600</xdr:rowOff>
    </xdr:from>
    <xdr:to>
      <xdr:col>19</xdr:col>
      <xdr:colOff>505460</xdr:colOff>
      <xdr:row>5</xdr:row>
      <xdr:rowOff>152400</xdr:rowOff>
    </xdr:to>
    <xdr:sp macro="" textlink="">
      <xdr:nvSpPr>
        <xdr:cNvPr id="23" name="TextBox 22">
          <a:extLst>
            <a:ext uri="{FF2B5EF4-FFF2-40B4-BE49-F238E27FC236}">
              <a16:creationId xmlns:a16="http://schemas.microsoft.com/office/drawing/2014/main" id="{B50B784C-5983-94BF-38BD-B0EBEE5F4E99}"/>
            </a:ext>
          </a:extLst>
        </xdr:cNvPr>
        <xdr:cNvSpPr txBox="1"/>
      </xdr:nvSpPr>
      <xdr:spPr>
        <a:xfrm>
          <a:off x="90297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800" b="1">
              <a:solidFill>
                <a:srgbClr val="2D412D"/>
              </a:solidFill>
            </a:rPr>
            <a:t>Transactions</a:t>
          </a:r>
          <a:endParaRPr lang="en-PK" sz="1800" b="1">
            <a:solidFill>
              <a:srgbClr val="2D412D"/>
            </a:solidFill>
          </a:endParaRPr>
        </a:p>
      </xdr:txBody>
    </xdr:sp>
    <xdr:clientData/>
  </xdr:twoCellAnchor>
  <xdr:twoCellAnchor>
    <xdr:from>
      <xdr:col>16</xdr:col>
      <xdr:colOff>129540</xdr:colOff>
      <xdr:row>5</xdr:row>
      <xdr:rowOff>139700</xdr:rowOff>
    </xdr:from>
    <xdr:to>
      <xdr:col>19</xdr:col>
      <xdr:colOff>505460</xdr:colOff>
      <xdr:row>7</xdr:row>
      <xdr:rowOff>114300</xdr:rowOff>
    </xdr:to>
    <xdr:sp macro="" textlink="Dashboard!$AF$5">
      <xdr:nvSpPr>
        <xdr:cNvPr id="24" name="TextBox 23">
          <a:extLst>
            <a:ext uri="{FF2B5EF4-FFF2-40B4-BE49-F238E27FC236}">
              <a16:creationId xmlns:a16="http://schemas.microsoft.com/office/drawing/2014/main" id="{0C4F4B20-3D71-0440-CB6A-141ECB7926AC}"/>
            </a:ext>
          </a:extLst>
        </xdr:cNvPr>
        <xdr:cNvSpPr txBox="1"/>
      </xdr:nvSpPr>
      <xdr:spPr>
        <a:xfrm>
          <a:off x="90297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5C80F43A-2043-4D7E-80EB-A062176708F6}" type="TxLink">
            <a:rPr lang="en-US" sz="2800" b="1" i="0" u="none" strike="noStrike">
              <a:solidFill>
                <a:srgbClr val="054A19"/>
              </a:solidFill>
              <a:latin typeface="Aptos"/>
            </a:rPr>
            <a:t>1</a:t>
          </a:fld>
          <a:endParaRPr lang="en-PK" sz="2800" b="1">
            <a:solidFill>
              <a:srgbClr val="054A19"/>
            </a:solidFill>
          </a:endParaRPr>
        </a:p>
      </xdr:txBody>
    </xdr:sp>
    <xdr:clientData/>
  </xdr:twoCellAnchor>
  <xdr:twoCellAnchor>
    <xdr:from>
      <xdr:col>16</xdr:col>
      <xdr:colOff>129540</xdr:colOff>
      <xdr:row>7</xdr:row>
      <xdr:rowOff>50800</xdr:rowOff>
    </xdr:from>
    <xdr:to>
      <xdr:col>19</xdr:col>
      <xdr:colOff>505460</xdr:colOff>
      <xdr:row>7</xdr:row>
      <xdr:rowOff>215900</xdr:rowOff>
    </xdr:to>
    <xdr:sp macro="" textlink="">
      <xdr:nvSpPr>
        <xdr:cNvPr id="25" name="TextBox 24">
          <a:extLst>
            <a:ext uri="{FF2B5EF4-FFF2-40B4-BE49-F238E27FC236}">
              <a16:creationId xmlns:a16="http://schemas.microsoft.com/office/drawing/2014/main" id="{E62C1C6D-8549-DC11-C59C-86CAE38410C0}"/>
            </a:ext>
          </a:extLst>
        </xdr:cNvPr>
        <xdr:cNvSpPr txBox="1"/>
      </xdr:nvSpPr>
      <xdr:spPr>
        <a:xfrm>
          <a:off x="90297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05F50"/>
              </a:solidFill>
            </a:rPr>
            <a:t>Total Transactions</a:t>
          </a:r>
          <a:endParaRPr lang="en-PK" sz="800">
            <a:solidFill>
              <a:srgbClr val="505F50"/>
            </a:solidFill>
          </a:endParaRPr>
        </a:p>
      </xdr:txBody>
    </xdr:sp>
    <xdr:clientData/>
  </xdr:twoCellAnchor>
  <xdr:twoCellAnchor>
    <xdr:from>
      <xdr:col>20</xdr:col>
      <xdr:colOff>0</xdr:colOff>
      <xdr:row>4</xdr:row>
      <xdr:rowOff>0</xdr:rowOff>
    </xdr:from>
    <xdr:to>
      <xdr:col>25</xdr:col>
      <xdr:colOff>0</xdr:colOff>
      <xdr:row>8</xdr:row>
      <xdr:rowOff>0</xdr:rowOff>
    </xdr:to>
    <xdr:sp macro="" textlink="">
      <xdr:nvSpPr>
        <xdr:cNvPr id="26" name="Rectangle: Rounded Corners 25">
          <a:extLst>
            <a:ext uri="{FF2B5EF4-FFF2-40B4-BE49-F238E27FC236}">
              <a16:creationId xmlns:a16="http://schemas.microsoft.com/office/drawing/2014/main" id="{5DAD668E-0130-D314-63CD-D045E7BB37D4}"/>
            </a:ext>
          </a:extLst>
        </xdr:cNvPr>
        <xdr:cNvSpPr/>
      </xdr:nvSpPr>
      <xdr:spPr>
        <a:xfrm>
          <a:off x="1112520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20</xdr:col>
      <xdr:colOff>127000</xdr:colOff>
      <xdr:row>4</xdr:row>
      <xdr:rowOff>203200</xdr:rowOff>
    </xdr:from>
    <xdr:to>
      <xdr:col>21</xdr:col>
      <xdr:colOff>53340</xdr:colOff>
      <xdr:row>7</xdr:row>
      <xdr:rowOff>0</xdr:rowOff>
    </xdr:to>
    <xdr:sp macro="" textlink="">
      <xdr:nvSpPr>
        <xdr:cNvPr id="27" name="Oval 26">
          <a:extLst>
            <a:ext uri="{FF2B5EF4-FFF2-40B4-BE49-F238E27FC236}">
              <a16:creationId xmlns:a16="http://schemas.microsoft.com/office/drawing/2014/main" id="{BABAA2FA-10F8-39D1-C845-63C37F94D0AD}"/>
            </a:ext>
          </a:extLst>
        </xdr:cNvPr>
        <xdr:cNvSpPr/>
      </xdr:nvSpPr>
      <xdr:spPr>
        <a:xfrm>
          <a:off x="11252200" y="1254760"/>
          <a:ext cx="482600" cy="482600"/>
        </a:xfrm>
        <a:prstGeom prst="ellipse">
          <a:avLst/>
        </a:prstGeom>
        <a:gradFill flip="none" rotWithShape="1">
          <a:gsLst>
            <a:gs pos="0">
              <a:srgbClr val="258930"/>
            </a:gs>
            <a:gs pos="100000">
              <a:srgbClr val="085019"/>
            </a:gs>
          </a:gsLst>
          <a:lin ang="2700000" scaled="1"/>
          <a:tileRect/>
        </a:gra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1300" b="1">
              <a:solidFill>
                <a:srgbClr val="FFFFFF"/>
              </a:solidFill>
            </a:rPr>
            <a:t>O</a:t>
          </a:r>
          <a:endParaRPr lang="en-PK" sz="1300" b="1">
            <a:solidFill>
              <a:srgbClr val="FFFFFF"/>
            </a:solidFill>
          </a:endParaRPr>
        </a:p>
      </xdr:txBody>
    </xdr:sp>
    <xdr:clientData/>
  </xdr:twoCellAnchor>
  <xdr:twoCellAnchor>
    <xdr:from>
      <xdr:col>21</xdr:col>
      <xdr:colOff>129540</xdr:colOff>
      <xdr:row>4</xdr:row>
      <xdr:rowOff>101600</xdr:rowOff>
    </xdr:from>
    <xdr:to>
      <xdr:col>24</xdr:col>
      <xdr:colOff>505460</xdr:colOff>
      <xdr:row>5</xdr:row>
      <xdr:rowOff>152400</xdr:rowOff>
    </xdr:to>
    <xdr:sp macro="" textlink="">
      <xdr:nvSpPr>
        <xdr:cNvPr id="28" name="TextBox 27">
          <a:extLst>
            <a:ext uri="{FF2B5EF4-FFF2-40B4-BE49-F238E27FC236}">
              <a16:creationId xmlns:a16="http://schemas.microsoft.com/office/drawing/2014/main" id="{2B17108D-7A08-773D-49C4-A32F313B1050}"/>
            </a:ext>
          </a:extLst>
        </xdr:cNvPr>
        <xdr:cNvSpPr txBox="1"/>
      </xdr:nvSpPr>
      <xdr:spPr>
        <a:xfrm>
          <a:off x="118110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800" b="1">
              <a:solidFill>
                <a:srgbClr val="2D412D"/>
              </a:solidFill>
            </a:rPr>
            <a:t>Approval Rate</a:t>
          </a:r>
          <a:endParaRPr lang="en-PK" sz="1800" b="1">
            <a:solidFill>
              <a:srgbClr val="2D412D"/>
            </a:solidFill>
          </a:endParaRPr>
        </a:p>
      </xdr:txBody>
    </xdr:sp>
    <xdr:clientData/>
  </xdr:twoCellAnchor>
  <xdr:twoCellAnchor>
    <xdr:from>
      <xdr:col>21</xdr:col>
      <xdr:colOff>129540</xdr:colOff>
      <xdr:row>5</xdr:row>
      <xdr:rowOff>139700</xdr:rowOff>
    </xdr:from>
    <xdr:to>
      <xdr:col>24</xdr:col>
      <xdr:colOff>505460</xdr:colOff>
      <xdr:row>7</xdr:row>
      <xdr:rowOff>114300</xdr:rowOff>
    </xdr:to>
    <xdr:sp macro="" textlink="Dashboard!$AF$6">
      <xdr:nvSpPr>
        <xdr:cNvPr id="29" name="TextBox 28">
          <a:extLst>
            <a:ext uri="{FF2B5EF4-FFF2-40B4-BE49-F238E27FC236}">
              <a16:creationId xmlns:a16="http://schemas.microsoft.com/office/drawing/2014/main" id="{5EA65CC5-EE60-9E82-78E5-CDED532206EF}"/>
            </a:ext>
          </a:extLst>
        </xdr:cNvPr>
        <xdr:cNvSpPr txBox="1"/>
      </xdr:nvSpPr>
      <xdr:spPr>
        <a:xfrm>
          <a:off x="118110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420C5F60-6AC2-4262-A8CD-0B0E8556AA87}" type="TxLink">
            <a:rPr lang="en-US" sz="2800" b="1" i="0" u="none" strike="noStrike">
              <a:solidFill>
                <a:srgbClr val="054A19"/>
              </a:solidFill>
              <a:latin typeface="Aptos"/>
            </a:rPr>
            <a:t>100.0%</a:t>
          </a:fld>
          <a:endParaRPr lang="en-PK" sz="2800" b="1">
            <a:solidFill>
              <a:srgbClr val="054A19"/>
            </a:solidFill>
          </a:endParaRPr>
        </a:p>
      </xdr:txBody>
    </xdr:sp>
    <xdr:clientData/>
  </xdr:twoCellAnchor>
  <xdr:twoCellAnchor>
    <xdr:from>
      <xdr:col>21</xdr:col>
      <xdr:colOff>129540</xdr:colOff>
      <xdr:row>7</xdr:row>
      <xdr:rowOff>50800</xdr:rowOff>
    </xdr:from>
    <xdr:to>
      <xdr:col>24</xdr:col>
      <xdr:colOff>505460</xdr:colOff>
      <xdr:row>7</xdr:row>
      <xdr:rowOff>215900</xdr:rowOff>
    </xdr:to>
    <xdr:sp macro="" textlink="">
      <xdr:nvSpPr>
        <xdr:cNvPr id="30" name="TextBox 29">
          <a:extLst>
            <a:ext uri="{FF2B5EF4-FFF2-40B4-BE49-F238E27FC236}">
              <a16:creationId xmlns:a16="http://schemas.microsoft.com/office/drawing/2014/main" id="{29F38583-0947-B341-482B-2DA2BA1597DB}"/>
            </a:ext>
          </a:extLst>
        </xdr:cNvPr>
        <xdr:cNvSpPr txBox="1"/>
      </xdr:nvSpPr>
      <xdr:spPr>
        <a:xfrm>
          <a:off x="118110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05F50"/>
              </a:solidFill>
            </a:rPr>
            <a:t>Approved Items</a:t>
          </a:r>
          <a:endParaRPr lang="en-PK" sz="800">
            <a:solidFill>
              <a:srgbClr val="505F50"/>
            </a:solidFill>
          </a:endParaRPr>
        </a:p>
      </xdr:txBody>
    </xdr:sp>
    <xdr:clientData/>
  </xdr:twoCellAnchor>
  <xdr:twoCellAnchor>
    <xdr:from>
      <xdr:col>25</xdr:col>
      <xdr:colOff>0</xdr:colOff>
      <xdr:row>4</xdr:row>
      <xdr:rowOff>0</xdr:rowOff>
    </xdr:from>
    <xdr:to>
      <xdr:col>30</xdr:col>
      <xdr:colOff>0</xdr:colOff>
      <xdr:row>8</xdr:row>
      <xdr:rowOff>0</xdr:rowOff>
    </xdr:to>
    <xdr:sp macro="" textlink="">
      <xdr:nvSpPr>
        <xdr:cNvPr id="31" name="Rectangle: Rounded Corners 30">
          <a:extLst>
            <a:ext uri="{FF2B5EF4-FFF2-40B4-BE49-F238E27FC236}">
              <a16:creationId xmlns:a16="http://schemas.microsoft.com/office/drawing/2014/main" id="{B10FD0C4-8FF6-3581-0EEB-8EAA6790B68B}"/>
            </a:ext>
          </a:extLst>
        </xdr:cNvPr>
        <xdr:cNvSpPr/>
      </xdr:nvSpPr>
      <xdr:spPr>
        <a:xfrm>
          <a:off x="13906500" y="1051560"/>
          <a:ext cx="2781300" cy="914400"/>
        </a:xfrm>
        <a:prstGeom prst="roundRect">
          <a:avLst/>
        </a:prstGeom>
        <a:solidFill>
          <a:srgbClr val="FFFFFF"/>
        </a:solidFill>
        <a:ln w="9525">
          <a:solidFill>
            <a:srgbClr val="D0E2CB"/>
          </a:solidFill>
        </a:ln>
        <a:effectLst>
          <a:outerShdw blurRad="63500" dist="17961" dir="2699987" rotWithShape="0">
            <a:srgbClr val="C8D2C8">
              <a:alpha val="30000"/>
            </a:srgb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PK" sz="1100"/>
        </a:p>
      </xdr:txBody>
    </xdr:sp>
    <xdr:clientData/>
  </xdr:twoCellAnchor>
  <xdr:twoCellAnchor>
    <xdr:from>
      <xdr:col>25</xdr:col>
      <xdr:colOff>127000</xdr:colOff>
      <xdr:row>4</xdr:row>
      <xdr:rowOff>203200</xdr:rowOff>
    </xdr:from>
    <xdr:to>
      <xdr:col>26</xdr:col>
      <xdr:colOff>53340</xdr:colOff>
      <xdr:row>7</xdr:row>
      <xdr:rowOff>0</xdr:rowOff>
    </xdr:to>
    <xdr:sp macro="" textlink="">
      <xdr:nvSpPr>
        <xdr:cNvPr id="32" name="Oval 31">
          <a:extLst>
            <a:ext uri="{FF2B5EF4-FFF2-40B4-BE49-F238E27FC236}">
              <a16:creationId xmlns:a16="http://schemas.microsoft.com/office/drawing/2014/main" id="{1D0FB9F5-9526-92CD-3402-11F30738BF3F}"/>
            </a:ext>
          </a:extLst>
        </xdr:cNvPr>
        <xdr:cNvSpPr/>
      </xdr:nvSpPr>
      <xdr:spPr>
        <a:xfrm>
          <a:off x="14033500" y="1254760"/>
          <a:ext cx="482600" cy="482600"/>
        </a:xfrm>
        <a:prstGeom prst="ellipse">
          <a:avLst/>
        </a:prstGeom>
        <a:gradFill flip="none" rotWithShape="1">
          <a:gsLst>
            <a:gs pos="0">
              <a:srgbClr val="166534"/>
            </a:gs>
            <a:gs pos="100000">
              <a:srgbClr val="085019"/>
            </a:gs>
          </a:gsLst>
          <a:lin ang="2700000" scaled="1"/>
          <a:tileRect/>
        </a:gradFill>
        <a:ln w="25400" cap="flat" cmpd="sng" algn="ctr">
          <a:noFill/>
          <a:prstDash val="solid"/>
        </a:ln>
        <a:effectLst/>
        <a:extLst>
          <a:ext uri="{91240B29-F687-4F45-9708-019B960494DF}">
            <a14:hiddenLine xmlns:a14="http://schemas.microsoft.com/office/drawing/2010/main" w="25400" cap="flat" cmpd="sng" algn="ctr">
              <a:solidFill>
                <a:schemeClr val="accent1">
                  <a:shade val="15000"/>
                </a:schemeClr>
              </a:solidFill>
              <a:prstDash val="solid"/>
            </a14:hiddenLine>
          </a:ext>
        </a:ex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PK" sz="1300" b="1">
              <a:solidFill>
                <a:srgbClr val="FFFFFF"/>
              </a:solidFill>
            </a:rPr>
            <a:t>^</a:t>
          </a:r>
        </a:p>
      </xdr:txBody>
    </xdr:sp>
    <xdr:clientData/>
  </xdr:twoCellAnchor>
  <xdr:twoCellAnchor>
    <xdr:from>
      <xdr:col>26</xdr:col>
      <xdr:colOff>129540</xdr:colOff>
      <xdr:row>4</xdr:row>
      <xdr:rowOff>101600</xdr:rowOff>
    </xdr:from>
    <xdr:to>
      <xdr:col>29</xdr:col>
      <xdr:colOff>505460</xdr:colOff>
      <xdr:row>5</xdr:row>
      <xdr:rowOff>152400</xdr:rowOff>
    </xdr:to>
    <xdr:sp macro="" textlink="">
      <xdr:nvSpPr>
        <xdr:cNvPr id="33" name="TextBox 32">
          <a:extLst>
            <a:ext uri="{FF2B5EF4-FFF2-40B4-BE49-F238E27FC236}">
              <a16:creationId xmlns:a16="http://schemas.microsoft.com/office/drawing/2014/main" id="{CECB293D-D842-E372-73CD-93EB49AF4F0C}"/>
            </a:ext>
          </a:extLst>
        </xdr:cNvPr>
        <xdr:cNvSpPr txBox="1"/>
      </xdr:nvSpPr>
      <xdr:spPr>
        <a:xfrm>
          <a:off x="14592300" y="1153160"/>
          <a:ext cx="2044700" cy="2794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r>
            <a:rPr lang="en-US" sz="1800" b="1">
              <a:solidFill>
                <a:srgbClr val="2D412D"/>
              </a:solidFill>
            </a:rPr>
            <a:t>Avg Expense</a:t>
          </a:r>
          <a:endParaRPr lang="en-PK" sz="1800" b="1">
            <a:solidFill>
              <a:srgbClr val="2D412D"/>
            </a:solidFill>
          </a:endParaRPr>
        </a:p>
      </xdr:txBody>
    </xdr:sp>
    <xdr:clientData/>
  </xdr:twoCellAnchor>
  <xdr:twoCellAnchor>
    <xdr:from>
      <xdr:col>26</xdr:col>
      <xdr:colOff>129540</xdr:colOff>
      <xdr:row>5</xdr:row>
      <xdr:rowOff>139700</xdr:rowOff>
    </xdr:from>
    <xdr:to>
      <xdr:col>29</xdr:col>
      <xdr:colOff>505460</xdr:colOff>
      <xdr:row>7</xdr:row>
      <xdr:rowOff>114300</xdr:rowOff>
    </xdr:to>
    <xdr:sp macro="" textlink="Dashboard!$AF$7">
      <xdr:nvSpPr>
        <xdr:cNvPr id="34" name="TextBox 33">
          <a:extLst>
            <a:ext uri="{FF2B5EF4-FFF2-40B4-BE49-F238E27FC236}">
              <a16:creationId xmlns:a16="http://schemas.microsoft.com/office/drawing/2014/main" id="{765EEA99-B9AC-6D50-5D22-C7383E63BF90}"/>
            </a:ext>
          </a:extLst>
        </xdr:cNvPr>
        <xdr:cNvSpPr txBox="1"/>
      </xdr:nvSpPr>
      <xdr:spPr>
        <a:xfrm>
          <a:off x="14592300" y="1419860"/>
          <a:ext cx="2044700" cy="4318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ctr"/>
        <a:lstStyle/>
        <a:p>
          <a:pPr algn="ctr"/>
          <a:fld id="{E3199682-5F12-497B-BCAC-928086186DA0}" type="TxLink">
            <a:rPr lang="en-US" sz="2800" b="1" i="0" u="none" strike="noStrike">
              <a:solidFill>
                <a:srgbClr val="054A19"/>
              </a:solidFill>
              <a:latin typeface="Aptos"/>
            </a:rPr>
            <a:t>112K</a:t>
          </a:fld>
          <a:endParaRPr lang="en-PK" sz="2800" b="1">
            <a:solidFill>
              <a:srgbClr val="054A19"/>
            </a:solidFill>
          </a:endParaRPr>
        </a:p>
      </xdr:txBody>
    </xdr:sp>
    <xdr:clientData/>
  </xdr:twoCellAnchor>
  <xdr:twoCellAnchor>
    <xdr:from>
      <xdr:col>26</xdr:col>
      <xdr:colOff>129540</xdr:colOff>
      <xdr:row>7</xdr:row>
      <xdr:rowOff>50800</xdr:rowOff>
    </xdr:from>
    <xdr:to>
      <xdr:col>29</xdr:col>
      <xdr:colOff>505460</xdr:colOff>
      <xdr:row>7</xdr:row>
      <xdr:rowOff>215900</xdr:rowOff>
    </xdr:to>
    <xdr:sp macro="" textlink="">
      <xdr:nvSpPr>
        <xdr:cNvPr id="35" name="TextBox 34">
          <a:extLst>
            <a:ext uri="{FF2B5EF4-FFF2-40B4-BE49-F238E27FC236}">
              <a16:creationId xmlns:a16="http://schemas.microsoft.com/office/drawing/2014/main" id="{0108D6D5-EB34-2BBD-FFBA-8117703F4237}"/>
            </a:ext>
          </a:extLst>
        </xdr:cNvPr>
        <xdr:cNvSpPr txBox="1"/>
      </xdr:nvSpPr>
      <xdr:spPr>
        <a:xfrm>
          <a:off x="14592300" y="1788160"/>
          <a:ext cx="2044700" cy="1651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US" sz="800">
              <a:solidFill>
                <a:srgbClr val="505F50"/>
              </a:solidFill>
            </a:rPr>
            <a:t>Per Transaction</a:t>
          </a:r>
          <a:endParaRPr lang="en-PK" sz="800">
            <a:solidFill>
              <a:srgbClr val="505F50"/>
            </a:solidFill>
          </a:endParaRPr>
        </a:p>
      </xdr:txBody>
    </xdr:sp>
    <xdr:clientData/>
  </xdr:twoCellAnchor>
  <xdr:twoCellAnchor>
    <xdr:from>
      <xdr:col>0</xdr:col>
      <xdr:colOff>0</xdr:colOff>
      <xdr:row>9</xdr:row>
      <xdr:rowOff>0</xdr:rowOff>
    </xdr:from>
    <xdr:to>
      <xdr:col>12</xdr:col>
      <xdr:colOff>0</xdr:colOff>
      <xdr:row>18</xdr:row>
      <xdr:rowOff>0</xdr:rowOff>
    </xdr:to>
    <xdr:graphicFrame macro="">
      <xdr:nvGraphicFramePr>
        <xdr:cNvPr id="36" name="Chart 35">
          <a:extLst>
            <a:ext uri="{FF2B5EF4-FFF2-40B4-BE49-F238E27FC236}">
              <a16:creationId xmlns:a16="http://schemas.microsoft.com/office/drawing/2014/main" id="{FB73BF43-0D04-36C4-4ABB-97654D016A0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9</xdr:row>
      <xdr:rowOff>0</xdr:rowOff>
    </xdr:from>
    <xdr:to>
      <xdr:col>22</xdr:col>
      <xdr:colOff>0</xdr:colOff>
      <xdr:row>18</xdr:row>
      <xdr:rowOff>0</xdr:rowOff>
    </xdr:to>
    <xdr:graphicFrame macro="">
      <xdr:nvGraphicFramePr>
        <xdr:cNvPr id="37" name="Chart 36">
          <a:extLst>
            <a:ext uri="{FF2B5EF4-FFF2-40B4-BE49-F238E27FC236}">
              <a16:creationId xmlns:a16="http://schemas.microsoft.com/office/drawing/2014/main" id="{296BD81C-B67B-72C5-CBFD-05CBDD76EA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18</xdr:row>
      <xdr:rowOff>0</xdr:rowOff>
    </xdr:from>
    <xdr:to>
      <xdr:col>12</xdr:col>
      <xdr:colOff>0</xdr:colOff>
      <xdr:row>28</xdr:row>
      <xdr:rowOff>0</xdr:rowOff>
    </xdr:to>
    <xdr:graphicFrame macro="">
      <xdr:nvGraphicFramePr>
        <xdr:cNvPr id="38" name="Chart 37">
          <a:extLst>
            <a:ext uri="{FF2B5EF4-FFF2-40B4-BE49-F238E27FC236}">
              <a16:creationId xmlns:a16="http://schemas.microsoft.com/office/drawing/2014/main" id="{D18984BA-8FC6-FE4C-B1BD-F5D6B249707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12</xdr:col>
      <xdr:colOff>0</xdr:colOff>
      <xdr:row>18</xdr:row>
      <xdr:rowOff>0</xdr:rowOff>
    </xdr:from>
    <xdr:to>
      <xdr:col>22</xdr:col>
      <xdr:colOff>0</xdr:colOff>
      <xdr:row>28</xdr:row>
      <xdr:rowOff>0</xdr:rowOff>
    </xdr:to>
    <xdr:graphicFrame macro="">
      <xdr:nvGraphicFramePr>
        <xdr:cNvPr id="39" name="Chart 38">
          <a:extLst>
            <a:ext uri="{FF2B5EF4-FFF2-40B4-BE49-F238E27FC236}">
              <a16:creationId xmlns:a16="http://schemas.microsoft.com/office/drawing/2014/main" id="{13E369C1-D8D5-0E1E-5F5F-A78E62738C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22</xdr:col>
      <xdr:colOff>0</xdr:colOff>
      <xdr:row>18</xdr:row>
      <xdr:rowOff>0</xdr:rowOff>
    </xdr:from>
    <xdr:to>
      <xdr:col>30</xdr:col>
      <xdr:colOff>0</xdr:colOff>
      <xdr:row>28</xdr:row>
      <xdr:rowOff>36704</xdr:rowOff>
    </xdr:to>
    <xdr:graphicFrame macro="">
      <xdr:nvGraphicFramePr>
        <xdr:cNvPr id="40" name="Chart 39">
          <a:extLst>
            <a:ext uri="{FF2B5EF4-FFF2-40B4-BE49-F238E27FC236}">
              <a16:creationId xmlns:a16="http://schemas.microsoft.com/office/drawing/2014/main" id="{6CE97A1E-A867-7332-7950-355C08559B2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22</xdr:col>
      <xdr:colOff>23949</xdr:colOff>
      <xdr:row>9</xdr:row>
      <xdr:rowOff>6531</xdr:rowOff>
    </xdr:from>
    <xdr:to>
      <xdr:col>30</xdr:col>
      <xdr:colOff>32657</xdr:colOff>
      <xdr:row>14</xdr:row>
      <xdr:rowOff>6531</xdr:rowOff>
    </xdr:to>
    <mc:AlternateContent xmlns:mc="http://schemas.openxmlformats.org/markup-compatibility/2006">
      <mc:Choice xmlns:a14="http://schemas.microsoft.com/office/drawing/2010/main" Requires="a14">
        <xdr:graphicFrame macro="">
          <xdr:nvGraphicFramePr>
            <xdr:cNvPr id="41" name="Month">
              <a:extLst>
                <a:ext uri="{FF2B5EF4-FFF2-40B4-BE49-F238E27FC236}">
                  <a16:creationId xmlns:a16="http://schemas.microsoft.com/office/drawing/2014/main" id="{9536EBBA-FE33-8FF2-0F05-ED137E89EAB0}"/>
                </a:ext>
              </a:extLst>
            </xdr:cNvPr>
            <xdr:cNvGraphicFramePr/>
          </xdr:nvGraphicFramePr>
          <xdr:xfrm>
            <a:off x="0" y="0"/>
            <a:ext cx="0" cy="0"/>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12237720" y="2194560"/>
              <a:ext cx="4450080" cy="11430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23949</xdr:colOff>
      <xdr:row>14</xdr:row>
      <xdr:rowOff>6531</xdr:rowOff>
    </xdr:from>
    <xdr:to>
      <xdr:col>30</xdr:col>
      <xdr:colOff>32657</xdr:colOff>
      <xdr:row>18</xdr:row>
      <xdr:rowOff>6531</xdr:rowOff>
    </xdr:to>
    <mc:AlternateContent xmlns:mc="http://schemas.openxmlformats.org/markup-compatibility/2006">
      <mc:Choice xmlns:a14="http://schemas.microsoft.com/office/drawing/2010/main" Requires="a14">
        <xdr:graphicFrame macro="">
          <xdr:nvGraphicFramePr>
            <xdr:cNvPr id="42" name="Department">
              <a:extLst>
                <a:ext uri="{FF2B5EF4-FFF2-40B4-BE49-F238E27FC236}">
                  <a16:creationId xmlns:a16="http://schemas.microsoft.com/office/drawing/2014/main" id="{058C53E3-C38E-9581-B723-CC6734EF1BED}"/>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dr:sp macro="" textlink="">
          <xdr:nvSpPr>
            <xdr:cNvPr id="0" name=""/>
            <xdr:cNvSpPr>
              <a:spLocks noTextEdit="1"/>
            </xdr:cNvSpPr>
          </xdr:nvSpPr>
          <xdr:spPr>
            <a:xfrm>
              <a:off x="12237720" y="3337560"/>
              <a:ext cx="4450080" cy="914400"/>
            </a:xfrm>
            <a:prstGeom prst="rect">
              <a:avLst/>
            </a:prstGeom>
            <a:solidFill>
              <a:prstClr val="white"/>
            </a:solidFill>
            <a:ln w="1">
              <a:solidFill>
                <a:prstClr val="green"/>
              </a:solidFill>
            </a:ln>
          </xdr:spPr>
          <xdr:txBody>
            <a:bodyPr vertOverflow="clip" horzOverflow="clip"/>
            <a:lstStyle/>
            <a:p>
              <a:r>
                <a:rPr lang="en-PK"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yed Haider Ali" refreshedDate="46219.894207175923" createdVersion="8" refreshedVersion="8" minRefreshableVersion="3" recordCount="60" xr:uid="{A4571205-9E71-4893-9B8C-3D8CAD886CA9}">
  <cacheSource type="worksheet">
    <worksheetSource ref="A1:J61" sheet="Data"/>
  </cacheSource>
  <cacheFields count="10">
    <cacheField name="Expense ID" numFmtId="0">
      <sharedItems/>
    </cacheField>
    <cacheField name="Date" numFmtId="165">
      <sharedItems containsSemiMixedTypes="0" containsNonDate="0" containsDate="1" containsString="0" minDate="2025-01-01T00:00:00" maxDate="2025-12-25T00:00:00"/>
    </cacheField>
    <cacheField name="Department" numFmtId="0">
      <sharedItems count="6">
        <s v="Operations"/>
        <s v="IT"/>
        <s v="Sales"/>
        <s v="HR"/>
        <s v="Finance"/>
        <s v="Marketing"/>
      </sharedItems>
    </cacheField>
    <cacheField name="Category" numFmtId="0">
      <sharedItems count="6">
        <s v="Training"/>
        <s v="Utilities"/>
        <s v="Software"/>
        <s v="Office Supplies"/>
        <s v="Travel"/>
        <s v="Equipment"/>
      </sharedItems>
    </cacheField>
    <cacheField name="Amount (INR)" numFmtId="166">
      <sharedItems containsSemiMixedTypes="0" containsString="0" containsNumber="1" containsInteger="1" minValue="10850" maxValue="245828"/>
    </cacheField>
    <cacheField name="Payment Method" numFmtId="0">
      <sharedItems count="4">
        <s v="Bank Transfer"/>
        <s v="Credit Card"/>
        <s v="Cash"/>
        <s v="UPI"/>
      </sharedItems>
    </cacheField>
    <cacheField name="Approved" numFmtId="0">
      <sharedItems count="2">
        <s v="Yes"/>
        <s v="No"/>
      </sharedItems>
    </cacheField>
    <cacheField name="Budget Allocated" numFmtId="166">
      <sharedItems containsSemiMixedTypes="0" containsString="0" containsNumber="1" containsInteger="1" minValue="36142" maxValue="391507"/>
    </cacheField>
    <cacheField name="Budget Remaining" numFmtId="166">
      <sharedItems containsSemiMixedTypes="0" containsString="0" containsNumber="1" containsInteger="1" minValue="13868" maxValue="149029"/>
    </cacheField>
    <cacheField name="Month" numFmtId="0">
      <sharedItems count="12">
        <s v="Jan"/>
        <s v="Dec"/>
        <s v="Feb"/>
        <s v="Apr"/>
        <s v="Nov"/>
        <s v="Oct"/>
        <s v="Jul"/>
        <s v="Mar"/>
        <s v="Sept"/>
        <s v="Jun"/>
        <s v="May"/>
        <s v="Aug"/>
      </sharedItems>
    </cacheField>
  </cacheFields>
  <extLst>
    <ext xmlns:x14="http://schemas.microsoft.com/office/spreadsheetml/2009/9/main" uri="{725AE2AE-9491-48be-B2B4-4EB974FC3084}">
      <x14:pivotCacheDefinition pivotCacheId="125149814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60">
  <r>
    <s v="EXP1002"/>
    <d v="2025-01-13T00:00:00"/>
    <x v="0"/>
    <x v="0"/>
    <n v="177621"/>
    <x v="0"/>
    <x v="0"/>
    <n v="216805"/>
    <n v="39184"/>
    <x v="0"/>
  </r>
  <r>
    <s v="EXP1003"/>
    <d v="2025-12-13T00:00:00"/>
    <x v="0"/>
    <x v="1"/>
    <n v="46579"/>
    <x v="1"/>
    <x v="1"/>
    <n v="83447"/>
    <n v="36868"/>
    <x v="1"/>
  </r>
  <r>
    <s v="EXP1004"/>
    <d v="2025-02-17T00:00:00"/>
    <x v="1"/>
    <x v="2"/>
    <n v="18331"/>
    <x v="1"/>
    <x v="0"/>
    <n v="36142"/>
    <n v="17811"/>
    <x v="2"/>
  </r>
  <r>
    <s v="EXP1005"/>
    <d v="2025-04-23T00:00:00"/>
    <x v="2"/>
    <x v="1"/>
    <n v="197700"/>
    <x v="2"/>
    <x v="0"/>
    <n v="317674"/>
    <n v="119974"/>
    <x v="3"/>
  </r>
  <r>
    <s v="EXP1006"/>
    <d v="2025-12-24T00:00:00"/>
    <x v="2"/>
    <x v="0"/>
    <n v="208916"/>
    <x v="2"/>
    <x v="0"/>
    <n v="260769"/>
    <n v="51853"/>
    <x v="1"/>
  </r>
  <r>
    <s v="EXP1007"/>
    <d v="2025-02-22T00:00:00"/>
    <x v="3"/>
    <x v="3"/>
    <n v="66443"/>
    <x v="1"/>
    <x v="1"/>
    <n v="164679"/>
    <n v="98236"/>
    <x v="2"/>
  </r>
  <r>
    <s v="EXP1008"/>
    <d v="2025-11-06T00:00:00"/>
    <x v="4"/>
    <x v="4"/>
    <n v="232165"/>
    <x v="3"/>
    <x v="0"/>
    <n v="332330"/>
    <n v="100165"/>
    <x v="4"/>
  </r>
  <r>
    <s v="EXP1009"/>
    <d v="2025-10-10T00:00:00"/>
    <x v="4"/>
    <x v="5"/>
    <n v="109230"/>
    <x v="2"/>
    <x v="0"/>
    <n v="139886"/>
    <n v="30656"/>
    <x v="5"/>
  </r>
  <r>
    <s v="EXP1010"/>
    <d v="2025-01-24T00:00:00"/>
    <x v="0"/>
    <x v="2"/>
    <n v="194699"/>
    <x v="2"/>
    <x v="0"/>
    <n v="222932"/>
    <n v="28233"/>
    <x v="0"/>
  </r>
  <r>
    <s v="EXP1011"/>
    <d v="2025-02-21T00:00:00"/>
    <x v="2"/>
    <x v="0"/>
    <n v="234216"/>
    <x v="3"/>
    <x v="1"/>
    <n v="305240"/>
    <n v="71024"/>
    <x v="2"/>
  </r>
  <r>
    <s v="EXP1012"/>
    <d v="2025-07-01T00:00:00"/>
    <x v="1"/>
    <x v="5"/>
    <n v="52638"/>
    <x v="2"/>
    <x v="0"/>
    <n v="159678"/>
    <n v="107040"/>
    <x v="6"/>
  </r>
  <r>
    <s v="EXP1013"/>
    <d v="2025-10-01T00:00:00"/>
    <x v="0"/>
    <x v="2"/>
    <n v="169680"/>
    <x v="0"/>
    <x v="1"/>
    <n v="224542"/>
    <n v="54862"/>
    <x v="5"/>
  </r>
  <r>
    <s v="EXP1014"/>
    <d v="2025-11-24T00:00:00"/>
    <x v="0"/>
    <x v="1"/>
    <n v="109471"/>
    <x v="0"/>
    <x v="1"/>
    <n v="190236"/>
    <n v="80765"/>
    <x v="4"/>
  </r>
  <r>
    <s v="EXP1015"/>
    <d v="2025-04-28T00:00:00"/>
    <x v="3"/>
    <x v="0"/>
    <n v="230948"/>
    <x v="3"/>
    <x v="1"/>
    <n v="255611"/>
    <n v="24663"/>
    <x v="3"/>
  </r>
  <r>
    <s v="EXP1016"/>
    <d v="2025-10-18T00:00:00"/>
    <x v="0"/>
    <x v="0"/>
    <n v="27350"/>
    <x v="0"/>
    <x v="1"/>
    <n v="92657"/>
    <n v="65307"/>
    <x v="5"/>
  </r>
  <r>
    <s v="EXP1017"/>
    <d v="2025-03-15T00:00:00"/>
    <x v="4"/>
    <x v="2"/>
    <n v="113712"/>
    <x v="0"/>
    <x v="1"/>
    <n v="243997"/>
    <n v="130285"/>
    <x v="7"/>
  </r>
  <r>
    <s v="EXP1018"/>
    <d v="2025-10-26T00:00:00"/>
    <x v="2"/>
    <x v="0"/>
    <n v="205825"/>
    <x v="0"/>
    <x v="0"/>
    <n v="328136"/>
    <n v="122311"/>
    <x v="5"/>
  </r>
  <r>
    <s v="EXP1019"/>
    <d v="2025-02-16T00:00:00"/>
    <x v="3"/>
    <x v="4"/>
    <n v="143569"/>
    <x v="0"/>
    <x v="0"/>
    <n v="282941"/>
    <n v="139372"/>
    <x v="2"/>
  </r>
  <r>
    <s v="EXP1020"/>
    <d v="2025-11-02T00:00:00"/>
    <x v="3"/>
    <x v="3"/>
    <n v="217638"/>
    <x v="3"/>
    <x v="1"/>
    <n v="338304"/>
    <n v="120666"/>
    <x v="4"/>
  </r>
  <r>
    <s v="EXP1021"/>
    <d v="2025-10-11T00:00:00"/>
    <x v="3"/>
    <x v="5"/>
    <n v="148704"/>
    <x v="1"/>
    <x v="1"/>
    <n v="224610"/>
    <n v="75906"/>
    <x v="5"/>
  </r>
  <r>
    <s v="EXP1022"/>
    <d v="2025-02-27T00:00:00"/>
    <x v="4"/>
    <x v="3"/>
    <n v="211483"/>
    <x v="0"/>
    <x v="1"/>
    <n v="310657"/>
    <n v="99174"/>
    <x v="2"/>
  </r>
  <r>
    <s v="EXP1023"/>
    <d v="2025-09-14T00:00:00"/>
    <x v="1"/>
    <x v="1"/>
    <n v="10850"/>
    <x v="1"/>
    <x v="1"/>
    <n v="89895"/>
    <n v="79045"/>
    <x v="8"/>
  </r>
  <r>
    <s v="EXP1024"/>
    <d v="2025-11-08T00:00:00"/>
    <x v="1"/>
    <x v="2"/>
    <n v="230638"/>
    <x v="2"/>
    <x v="0"/>
    <n v="373718"/>
    <n v="143080"/>
    <x v="4"/>
  </r>
  <r>
    <s v="EXP1025"/>
    <d v="2025-01-01T00:00:00"/>
    <x v="5"/>
    <x v="0"/>
    <n v="151394"/>
    <x v="3"/>
    <x v="0"/>
    <n v="300423"/>
    <n v="149029"/>
    <x v="0"/>
  </r>
  <r>
    <s v="EXP1026"/>
    <d v="2025-06-07T00:00:00"/>
    <x v="1"/>
    <x v="4"/>
    <n v="39325"/>
    <x v="0"/>
    <x v="0"/>
    <n v="144478"/>
    <n v="105153"/>
    <x v="9"/>
  </r>
  <r>
    <s v="EXP1027"/>
    <d v="2025-02-05T00:00:00"/>
    <x v="5"/>
    <x v="2"/>
    <n v="32453"/>
    <x v="0"/>
    <x v="1"/>
    <n v="169852"/>
    <n v="137399"/>
    <x v="2"/>
  </r>
  <r>
    <s v="EXP1028"/>
    <d v="2025-05-16T00:00:00"/>
    <x v="5"/>
    <x v="1"/>
    <n v="154127"/>
    <x v="3"/>
    <x v="0"/>
    <n v="207414"/>
    <n v="53287"/>
    <x v="10"/>
  </r>
  <r>
    <s v="EXP1029"/>
    <d v="2025-06-09T00:00:00"/>
    <x v="2"/>
    <x v="5"/>
    <n v="151373"/>
    <x v="2"/>
    <x v="1"/>
    <n v="214103"/>
    <n v="62730"/>
    <x v="9"/>
  </r>
  <r>
    <s v="EXP1030"/>
    <d v="2025-08-20T00:00:00"/>
    <x v="3"/>
    <x v="2"/>
    <n v="245828"/>
    <x v="0"/>
    <x v="0"/>
    <n v="391507"/>
    <n v="145679"/>
    <x v="11"/>
  </r>
  <r>
    <s v="EXP1031"/>
    <d v="2025-10-29T00:00:00"/>
    <x v="5"/>
    <x v="2"/>
    <n v="98627"/>
    <x v="0"/>
    <x v="0"/>
    <n v="114141"/>
    <n v="15514"/>
    <x v="5"/>
  </r>
  <r>
    <s v="EXP1032"/>
    <d v="2025-04-28T00:00:00"/>
    <x v="3"/>
    <x v="4"/>
    <n v="28610"/>
    <x v="2"/>
    <x v="0"/>
    <n v="54043"/>
    <n v="25433"/>
    <x v="3"/>
  </r>
  <r>
    <s v="EXP1033"/>
    <d v="2025-05-23T00:00:00"/>
    <x v="0"/>
    <x v="3"/>
    <n v="144782"/>
    <x v="0"/>
    <x v="0"/>
    <n v="217173"/>
    <n v="72391"/>
    <x v="10"/>
  </r>
  <r>
    <s v="EXP1034"/>
    <d v="2025-05-05T00:00:00"/>
    <x v="2"/>
    <x v="3"/>
    <n v="199622"/>
    <x v="0"/>
    <x v="0"/>
    <n v="333529"/>
    <n v="133907"/>
    <x v="10"/>
  </r>
  <r>
    <s v="EXP1035"/>
    <d v="2025-07-01T00:00:00"/>
    <x v="2"/>
    <x v="3"/>
    <n v="35409"/>
    <x v="3"/>
    <x v="0"/>
    <n v="158406"/>
    <n v="122997"/>
    <x v="6"/>
  </r>
  <r>
    <s v="EXP1036"/>
    <d v="2025-02-01T00:00:00"/>
    <x v="2"/>
    <x v="5"/>
    <n v="186518"/>
    <x v="2"/>
    <x v="0"/>
    <n v="222317"/>
    <n v="35799"/>
    <x v="2"/>
  </r>
  <r>
    <s v="EXP1037"/>
    <d v="2025-04-08T00:00:00"/>
    <x v="5"/>
    <x v="3"/>
    <n v="75183"/>
    <x v="0"/>
    <x v="1"/>
    <n v="135407"/>
    <n v="60224"/>
    <x v="3"/>
  </r>
  <r>
    <s v="EXP1038"/>
    <d v="2025-08-25T00:00:00"/>
    <x v="1"/>
    <x v="4"/>
    <n v="58100"/>
    <x v="3"/>
    <x v="0"/>
    <n v="141118"/>
    <n v="83018"/>
    <x v="11"/>
  </r>
  <r>
    <s v="EXP1039"/>
    <d v="2025-02-17T00:00:00"/>
    <x v="1"/>
    <x v="2"/>
    <n v="23261"/>
    <x v="3"/>
    <x v="1"/>
    <n v="37129"/>
    <n v="13868"/>
    <x v="2"/>
  </r>
  <r>
    <s v="EXP1040"/>
    <d v="2025-07-25T00:00:00"/>
    <x v="3"/>
    <x v="2"/>
    <n v="136185"/>
    <x v="3"/>
    <x v="0"/>
    <n v="202217"/>
    <n v="66032"/>
    <x v="6"/>
  </r>
  <r>
    <s v="EXP1041"/>
    <d v="2025-08-21T00:00:00"/>
    <x v="4"/>
    <x v="3"/>
    <n v="112346"/>
    <x v="3"/>
    <x v="0"/>
    <n v="191867"/>
    <n v="79521"/>
    <x v="11"/>
  </r>
  <r>
    <s v="EXP1042"/>
    <d v="2025-04-22T00:00:00"/>
    <x v="3"/>
    <x v="1"/>
    <n v="59780"/>
    <x v="1"/>
    <x v="1"/>
    <n v="147560"/>
    <n v="87780"/>
    <x v="3"/>
  </r>
  <r>
    <s v="EXP1043"/>
    <d v="2025-10-27T00:00:00"/>
    <x v="2"/>
    <x v="1"/>
    <n v="24985"/>
    <x v="0"/>
    <x v="0"/>
    <n v="48129"/>
    <n v="23144"/>
    <x v="5"/>
  </r>
  <r>
    <s v="EXP1044"/>
    <d v="2025-04-06T00:00:00"/>
    <x v="3"/>
    <x v="1"/>
    <n v="143124"/>
    <x v="1"/>
    <x v="0"/>
    <n v="174124"/>
    <n v="31000"/>
    <x v="3"/>
  </r>
  <r>
    <s v="EXP1045"/>
    <d v="2025-10-19T00:00:00"/>
    <x v="1"/>
    <x v="1"/>
    <n v="115847"/>
    <x v="1"/>
    <x v="0"/>
    <n v="157274"/>
    <n v="41427"/>
    <x v="5"/>
  </r>
  <r>
    <s v="EXP1046"/>
    <d v="2025-06-11T00:00:00"/>
    <x v="4"/>
    <x v="2"/>
    <n v="119897"/>
    <x v="2"/>
    <x v="0"/>
    <n v="266941"/>
    <n v="147044"/>
    <x v="9"/>
  </r>
  <r>
    <s v="EXP1047"/>
    <d v="2025-03-09T00:00:00"/>
    <x v="0"/>
    <x v="5"/>
    <n v="79629"/>
    <x v="2"/>
    <x v="1"/>
    <n v="193381"/>
    <n v="113752"/>
    <x v="7"/>
  </r>
  <r>
    <s v="EXP1048"/>
    <d v="2025-01-05T00:00:00"/>
    <x v="2"/>
    <x v="1"/>
    <n v="92883"/>
    <x v="1"/>
    <x v="0"/>
    <n v="121899"/>
    <n v="29016"/>
    <x v="0"/>
  </r>
  <r>
    <s v="EXP1049"/>
    <d v="2025-09-17T00:00:00"/>
    <x v="4"/>
    <x v="2"/>
    <n v="150937"/>
    <x v="2"/>
    <x v="0"/>
    <n v="216814"/>
    <n v="65877"/>
    <x v="8"/>
  </r>
  <r>
    <s v="EXP1050"/>
    <d v="2025-07-09T00:00:00"/>
    <x v="4"/>
    <x v="2"/>
    <n v="240495"/>
    <x v="3"/>
    <x v="1"/>
    <n v="314532"/>
    <n v="74037"/>
    <x v="6"/>
  </r>
  <r>
    <s v="EXP1051"/>
    <d v="2025-01-05T00:00:00"/>
    <x v="0"/>
    <x v="1"/>
    <n v="170347"/>
    <x v="2"/>
    <x v="0"/>
    <n v="319005"/>
    <n v="148658"/>
    <x v="0"/>
  </r>
  <r>
    <s v="EXP1052"/>
    <d v="2025-05-16T00:00:00"/>
    <x v="3"/>
    <x v="4"/>
    <n v="240195"/>
    <x v="0"/>
    <x v="1"/>
    <n v="285398"/>
    <n v="45203"/>
    <x v="10"/>
  </r>
  <r>
    <s v="EXP1053"/>
    <d v="2025-06-25T00:00:00"/>
    <x v="1"/>
    <x v="5"/>
    <n v="83860"/>
    <x v="2"/>
    <x v="1"/>
    <n v="149075"/>
    <n v="65215"/>
    <x v="9"/>
  </r>
  <r>
    <s v="EXP1054"/>
    <d v="2025-02-17T00:00:00"/>
    <x v="0"/>
    <x v="3"/>
    <n v="75829"/>
    <x v="2"/>
    <x v="0"/>
    <n v="99145"/>
    <n v="23316"/>
    <x v="2"/>
  </r>
  <r>
    <s v="EXP1055"/>
    <d v="2025-03-08T00:00:00"/>
    <x v="0"/>
    <x v="0"/>
    <n v="10929"/>
    <x v="0"/>
    <x v="1"/>
    <n v="108368"/>
    <n v="97439"/>
    <x v="7"/>
  </r>
  <r>
    <s v="EXP1056"/>
    <d v="2025-10-15T00:00:00"/>
    <x v="3"/>
    <x v="4"/>
    <n v="154619"/>
    <x v="1"/>
    <x v="0"/>
    <n v="276734"/>
    <n v="122115"/>
    <x v="5"/>
  </r>
  <r>
    <s v="EXP1057"/>
    <d v="2025-07-09T00:00:00"/>
    <x v="5"/>
    <x v="1"/>
    <n v="153023"/>
    <x v="0"/>
    <x v="1"/>
    <n v="172467"/>
    <n v="19444"/>
    <x v="6"/>
  </r>
  <r>
    <s v="EXP1058"/>
    <d v="2025-06-07T00:00:00"/>
    <x v="4"/>
    <x v="4"/>
    <n v="43409"/>
    <x v="2"/>
    <x v="0"/>
    <n v="64374"/>
    <n v="20965"/>
    <x v="9"/>
  </r>
  <r>
    <s v="EXP1059"/>
    <d v="2025-12-08T00:00:00"/>
    <x v="3"/>
    <x v="0"/>
    <n v="188799"/>
    <x v="3"/>
    <x v="0"/>
    <n v="264211"/>
    <n v="75412"/>
    <x v="1"/>
  </r>
  <r>
    <s v="EXP1060"/>
    <d v="2025-04-01T00:00:00"/>
    <x v="2"/>
    <x v="4"/>
    <n v="72059"/>
    <x v="0"/>
    <x v="1"/>
    <n v="124657"/>
    <n v="52598"/>
    <x v="3"/>
  </r>
  <r>
    <s v="EXP1061"/>
    <d v="2025-12-09T00:00:00"/>
    <x v="0"/>
    <x v="2"/>
    <n v="215097"/>
    <x v="2"/>
    <x v="0"/>
    <n v="333025"/>
    <n v="117928"/>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AE84B4-3155-4A21-913C-00CDB1BD0DE2}" name="PT_BudgetVsActual"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25:F27" firstHeaderRow="0" firstDataRow="1" firstDataCol="1"/>
  <pivotFields count="10">
    <pivotField compact="0" outline="0" showAll="0"/>
    <pivotField compact="0" numFmtId="165" outline="0" showAll="0"/>
    <pivotField axis="axisRow" compact="0" outline="0" showAll="0">
      <items count="7">
        <item x="4"/>
        <item h="1" x="3"/>
        <item h="1" x="1"/>
        <item h="1" x="5"/>
        <item h="1" x="0"/>
        <item h="1" x="2"/>
        <item t="default"/>
      </items>
    </pivotField>
    <pivotField compact="0" outline="0" showAll="0"/>
    <pivotField dataField="1" compact="0" numFmtId="166" outline="0" showAll="0"/>
    <pivotField compact="0" outline="0" showAll="0"/>
    <pivotField compact="0" outline="0" showAll="0"/>
    <pivotField dataField="1" compact="0" numFmtId="166" outline="0" showAll="0"/>
    <pivotField compact="0" numFmtId="166" outline="0" showAll="0"/>
    <pivotField compact="0" outline="0" showAll="0">
      <items count="13">
        <item h="1" x="0"/>
        <item h="1" x="2"/>
        <item h="1" x="7"/>
        <item h="1" x="3"/>
        <item h="1" x="10"/>
        <item h="1" x="9"/>
        <item h="1" x="6"/>
        <item x="11"/>
        <item h="1" x="8"/>
        <item h="1" x="5"/>
        <item h="1" x="4"/>
        <item h="1" x="1"/>
        <item t="default"/>
      </items>
    </pivotField>
  </pivotFields>
  <rowFields count="1">
    <field x="2"/>
  </rowFields>
  <rowItems count="2">
    <i>
      <x/>
    </i>
    <i t="grand">
      <x/>
    </i>
  </rowItems>
  <colFields count="1">
    <field x="-2"/>
  </colFields>
  <colItems count="2">
    <i>
      <x/>
    </i>
    <i i="1">
      <x v="1"/>
    </i>
  </colItems>
  <dataFields count="2">
    <dataField name="Actual Spent" fld="4" baseField="0" baseItem="0" numFmtId="166"/>
    <dataField name="Sum of Budget Allocated" fld="7" baseField="0" baseItem="0" numFmtId="166"/>
  </dataFields>
  <formats count="12">
    <format dxfId="1667">
      <pivotArea type="all" dataOnly="0" outline="0" fieldPosition="0"/>
    </format>
    <format dxfId="1666">
      <pivotArea outline="0" collapsedLevelsAreSubtotals="1" fieldPosition="0"/>
    </format>
    <format dxfId="1665">
      <pivotArea field="2" type="button" dataOnly="0" labelOnly="1" outline="0" axis="axisRow" fieldPosition="0"/>
    </format>
    <format dxfId="1664">
      <pivotArea dataOnly="0" labelOnly="1" outline="0" fieldPosition="0">
        <references count="1">
          <reference field="2" count="0"/>
        </references>
      </pivotArea>
    </format>
    <format dxfId="1663">
      <pivotArea dataOnly="0" labelOnly="1" grandRow="1" outline="0" fieldPosition="0"/>
    </format>
    <format dxfId="1662">
      <pivotArea dataOnly="0" labelOnly="1" outline="0" fieldPosition="0">
        <references count="1">
          <reference field="4294967294" count="2">
            <x v="0"/>
            <x v="1"/>
          </reference>
        </references>
      </pivotArea>
    </format>
    <format dxfId="1661">
      <pivotArea type="all" dataOnly="0" outline="0" fieldPosition="0"/>
    </format>
    <format dxfId="1660">
      <pivotArea outline="0" collapsedLevelsAreSubtotals="1" fieldPosition="0"/>
    </format>
    <format dxfId="1659">
      <pivotArea field="2" type="button" dataOnly="0" labelOnly="1" outline="0" axis="axisRow" fieldPosition="0"/>
    </format>
    <format dxfId="1658">
      <pivotArea dataOnly="0" labelOnly="1" outline="0" fieldPosition="0">
        <references count="1">
          <reference field="2" count="0"/>
        </references>
      </pivotArea>
    </format>
    <format dxfId="1657">
      <pivotArea dataOnly="0" labelOnly="1" grandRow="1" outline="0" fieldPosition="0"/>
    </format>
    <format dxfId="1656">
      <pivotArea dataOnly="0" labelOnly="1" outline="0" fieldPosition="0">
        <references count="1">
          <reference field="4294967294" count="2">
            <x v="0"/>
            <x v="1"/>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747561C-B190-471F-8DEE-3AC8FB1599C8}" name="PT_PaymentMethod"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25:B27" firstHeaderRow="1" firstDataRow="1" firstDataCol="1"/>
  <pivotFields count="10">
    <pivotField compact="0" outline="0" showAll="0"/>
    <pivotField compact="0" numFmtId="165" outline="0" showAll="0"/>
    <pivotField compact="0" outline="0" showAll="0">
      <items count="7">
        <item x="4"/>
        <item h="1" x="3"/>
        <item h="1" x="1"/>
        <item h="1" x="5"/>
        <item h="1" x="0"/>
        <item h="1" x="2"/>
        <item t="default"/>
      </items>
    </pivotField>
    <pivotField compact="0" outline="0" showAll="0"/>
    <pivotField dataField="1" compact="0" numFmtId="166" outline="0" showAll="0"/>
    <pivotField axis="axisRow" compact="0" outline="0" showAll="0">
      <items count="5">
        <item x="0"/>
        <item x="2"/>
        <item x="1"/>
        <item x="3"/>
        <item t="default"/>
      </items>
    </pivotField>
    <pivotField compact="0" outline="0" showAll="0"/>
    <pivotField compact="0" numFmtId="166" outline="0" showAll="0"/>
    <pivotField compact="0" numFmtId="166" outline="0" showAll="0"/>
    <pivotField compact="0" outline="0" showAll="0">
      <items count="13">
        <item h="1" x="0"/>
        <item h="1" x="2"/>
        <item h="1" x="7"/>
        <item h="1" x="3"/>
        <item h="1" x="10"/>
        <item h="1" x="9"/>
        <item h="1" x="6"/>
        <item x="11"/>
        <item h="1" x="8"/>
        <item h="1" x="5"/>
        <item h="1" x="4"/>
        <item h="1" x="1"/>
        <item t="default"/>
      </items>
    </pivotField>
  </pivotFields>
  <rowFields count="1">
    <field x="5"/>
  </rowFields>
  <rowItems count="2">
    <i>
      <x v="3"/>
    </i>
    <i t="grand">
      <x/>
    </i>
  </rowItems>
  <colItems count="1">
    <i/>
  </colItems>
  <dataFields count="1">
    <dataField name="Sum of Amount (INR)" fld="4" baseField="0" baseItem="0" numFmtId="166"/>
  </dataFields>
  <formats count="12">
    <format dxfId="1679">
      <pivotArea type="all" dataOnly="0" outline="0" fieldPosition="0"/>
    </format>
    <format dxfId="1678">
      <pivotArea outline="0" collapsedLevelsAreSubtotals="1" fieldPosition="0"/>
    </format>
    <format dxfId="1677">
      <pivotArea field="5" type="button" dataOnly="0" labelOnly="1" outline="0" axis="axisRow" fieldPosition="0"/>
    </format>
    <format dxfId="1676">
      <pivotArea dataOnly="0" labelOnly="1" outline="0" fieldPosition="0">
        <references count="1">
          <reference field="5" count="0"/>
        </references>
      </pivotArea>
    </format>
    <format dxfId="1675">
      <pivotArea dataOnly="0" labelOnly="1" grandRow="1" outline="0" fieldPosition="0"/>
    </format>
    <format dxfId="1674">
      <pivotArea dataOnly="0" labelOnly="1" outline="0" axis="axisValues" fieldPosition="0"/>
    </format>
    <format dxfId="1673">
      <pivotArea type="all" dataOnly="0" outline="0" fieldPosition="0"/>
    </format>
    <format dxfId="1672">
      <pivotArea outline="0" collapsedLevelsAreSubtotals="1" fieldPosition="0"/>
    </format>
    <format dxfId="1671">
      <pivotArea field="5" type="button" dataOnly="0" labelOnly="1" outline="0" axis="axisRow" fieldPosition="0"/>
    </format>
    <format dxfId="1670">
      <pivotArea dataOnly="0" labelOnly="1" outline="0" fieldPosition="0">
        <references count="1">
          <reference field="5" count="0"/>
        </references>
      </pivotArea>
    </format>
    <format dxfId="1669">
      <pivotArea dataOnly="0" labelOnly="1" grandRow="1" outline="0" fieldPosition="0"/>
    </format>
    <format dxfId="166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EE3003C-0B3A-48CF-84B1-371950F51CF9}" name="PT_KPI" cacheId="66"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M3:P4" firstHeaderRow="0" firstDataRow="1" firstDataCol="0"/>
  <pivotFields count="10">
    <pivotField dataField="1" showAll="0"/>
    <pivotField numFmtId="165" showAll="0"/>
    <pivotField showAll="0">
      <items count="7">
        <item x="4"/>
        <item h="1" x="3"/>
        <item h="1" x="1"/>
        <item h="1" x="5"/>
        <item h="1" x="0"/>
        <item h="1" x="2"/>
        <item t="default"/>
      </items>
    </pivotField>
    <pivotField showAll="0"/>
    <pivotField dataField="1" numFmtId="166" showAll="0"/>
    <pivotField showAll="0"/>
    <pivotField showAll="0"/>
    <pivotField dataField="1" numFmtId="166" showAll="0"/>
    <pivotField dataField="1" numFmtId="166" showAll="0"/>
    <pivotField showAll="0">
      <items count="13">
        <item h="1" x="0"/>
        <item h="1" x="2"/>
        <item h="1" x="7"/>
        <item h="1" x="3"/>
        <item h="1" x="10"/>
        <item h="1" x="9"/>
        <item h="1" x="6"/>
        <item x="11"/>
        <item h="1" x="8"/>
        <item h="1" x="5"/>
        <item h="1" x="4"/>
        <item h="1" x="1"/>
        <item t="default"/>
      </items>
    </pivotField>
  </pivotFields>
  <rowItems count="1">
    <i/>
  </rowItems>
  <colFields count="1">
    <field x="-2"/>
  </colFields>
  <colItems count="4">
    <i>
      <x/>
    </i>
    <i i="1">
      <x v="1"/>
    </i>
    <i i="2">
      <x v="2"/>
    </i>
    <i i="3">
      <x v="3"/>
    </i>
  </colItems>
  <dataFields count="4">
    <dataField name="Sum of Amount (INR)" fld="4" baseField="0" baseItem="0" numFmtId="166"/>
    <dataField name="Sum of Budget Allocated" fld="7" baseField="0" baseItem="0" numFmtId="166"/>
    <dataField name="Sum of Budget Remaining" fld="8" baseField="0" baseItem="0" numFmtId="166"/>
    <dataField name="Count of Expense ID" fld="0" subtotal="count" baseField="0" baseItem="0" numFmtId="3"/>
  </dataFields>
  <formats count="8">
    <format dxfId="1687">
      <pivotArea outline="0" collapsedLevelsAreSubtotals="1" fieldPosition="0"/>
    </format>
    <format dxfId="1686">
      <pivotArea outline="0" collapsedLevelsAreSubtotals="1" fieldPosition="0">
        <references count="1">
          <reference field="4294967294" count="1" selected="0">
            <x v="3"/>
          </reference>
        </references>
      </pivotArea>
    </format>
    <format dxfId="1685">
      <pivotArea type="all" dataOnly="0" outline="0" fieldPosition="0"/>
    </format>
    <format dxfId="1684">
      <pivotArea outline="0" collapsedLevelsAreSubtotals="1" fieldPosition="0"/>
    </format>
    <format dxfId="1683">
      <pivotArea dataOnly="0" labelOnly="1" outline="0" fieldPosition="0">
        <references count="1">
          <reference field="4294967294" count="4">
            <x v="0"/>
            <x v="1"/>
            <x v="2"/>
            <x v="3"/>
          </reference>
        </references>
      </pivotArea>
    </format>
    <format dxfId="1682">
      <pivotArea type="all" dataOnly="0" outline="0" fieldPosition="0"/>
    </format>
    <format dxfId="1681">
      <pivotArea outline="0" collapsedLevelsAreSubtotals="1" fieldPosition="0"/>
    </format>
    <format dxfId="1680">
      <pivotArea dataOnly="0" labelOnly="1" outline="0" fieldPosition="0">
        <references count="1">
          <reference field="4294967294" count="4">
            <x v="0"/>
            <x v="1"/>
            <x v="2"/>
            <x v="3"/>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42AC53A-A5C5-49B2-A187-46C65464B3D3}" name="PT_ApprovedStatus"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J3:L5" firstHeaderRow="0" firstDataRow="1" firstDataCol="1"/>
  <pivotFields count="10">
    <pivotField dataField="1" compact="0" outline="0" showAll="0"/>
    <pivotField compact="0" numFmtId="165" outline="0" showAll="0"/>
    <pivotField compact="0" outline="0" showAll="0">
      <items count="7">
        <item x="4"/>
        <item h="1" x="3"/>
        <item h="1" x="1"/>
        <item h="1" x="5"/>
        <item h="1" x="0"/>
        <item h="1" x="2"/>
        <item t="default"/>
      </items>
    </pivotField>
    <pivotField compact="0" outline="0" showAll="0"/>
    <pivotField dataField="1" compact="0" numFmtId="166" outline="0" showAll="0"/>
    <pivotField compact="0" outline="0" showAll="0"/>
    <pivotField axis="axisRow" compact="0" outline="0" showAll="0">
      <items count="3">
        <item x="1"/>
        <item x="0"/>
        <item t="default"/>
      </items>
    </pivotField>
    <pivotField compact="0" numFmtId="166" outline="0" showAll="0"/>
    <pivotField compact="0" numFmtId="166" outline="0" showAll="0"/>
    <pivotField compact="0" outline="0" showAll="0">
      <items count="13">
        <item h="1" x="0"/>
        <item h="1" x="2"/>
        <item h="1" x="7"/>
        <item h="1" x="3"/>
        <item h="1" x="10"/>
        <item h="1" x="9"/>
        <item h="1" x="6"/>
        <item x="11"/>
        <item h="1" x="8"/>
        <item h="1" x="5"/>
        <item h="1" x="4"/>
        <item h="1" x="1"/>
        <item t="default"/>
      </items>
    </pivotField>
  </pivotFields>
  <rowFields count="1">
    <field x="6"/>
  </rowFields>
  <rowItems count="2">
    <i>
      <x v="1"/>
    </i>
    <i t="grand">
      <x/>
    </i>
  </rowItems>
  <colFields count="1">
    <field x="-2"/>
  </colFields>
  <colItems count="2">
    <i>
      <x/>
    </i>
    <i i="1">
      <x v="1"/>
    </i>
  </colItems>
  <dataFields count="2">
    <dataField name="Sum of Amount (INR)" fld="4" baseField="0" baseItem="0" numFmtId="166"/>
    <dataField name="Count of Expense ID" fld="0" subtotal="count" baseField="0" baseItem="0"/>
  </dataFields>
  <formats count="1">
    <format dxfId="1688">
      <pivotArea outline="0" fieldPosition="0">
        <references count="2">
          <reference field="4294967294" count="1" selected="0">
            <x v="1"/>
          </reference>
          <reference field="6" count="0" selected="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7D55409-53C2-4474-908B-CA88C4267B2E}" name="PT_MonthlyTrend"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G3:H5" firstHeaderRow="1" firstDataRow="1" firstDataCol="1"/>
  <pivotFields count="10">
    <pivotField compact="0" outline="0" showAll="0"/>
    <pivotField compact="0" numFmtId="165" outline="0" showAll="0"/>
    <pivotField compact="0" outline="0" showAll="0">
      <items count="7">
        <item x="4"/>
        <item h="1" x="3"/>
        <item h="1" x="1"/>
        <item h="1" x="5"/>
        <item h="1" x="0"/>
        <item h="1" x="2"/>
        <item t="default"/>
      </items>
    </pivotField>
    <pivotField compact="0" outline="0" showAll="0"/>
    <pivotField dataField="1" compact="0" numFmtId="166" outline="0" showAll="0"/>
    <pivotField compact="0" outline="0" showAll="0"/>
    <pivotField compact="0" outline="0" showAll="0"/>
    <pivotField compact="0" numFmtId="166" outline="0" showAll="0"/>
    <pivotField compact="0" numFmtId="166" outline="0" showAll="0"/>
    <pivotField axis="axisRow" compact="0" outline="0" showAll="0" sortType="ascending">
      <items count="13">
        <item h="1" x="0"/>
        <item h="1" x="2"/>
        <item h="1" x="7"/>
        <item h="1" x="3"/>
        <item h="1" x="10"/>
        <item h="1" x="9"/>
        <item h="1" x="6"/>
        <item x="11"/>
        <item h="1" x="8"/>
        <item h="1" x="5"/>
        <item h="1" x="4"/>
        <item h="1" x="1"/>
        <item t="default"/>
      </items>
    </pivotField>
  </pivotFields>
  <rowFields count="1">
    <field x="9"/>
  </rowFields>
  <rowItems count="2">
    <i>
      <x v="7"/>
    </i>
    <i t="grand">
      <x/>
    </i>
  </rowItems>
  <colItems count="1">
    <i/>
  </colItems>
  <dataFields count="1">
    <dataField name="Sum of Amount (INR)" fld="4" baseField="0" baseItem="0" numFmtId="166"/>
  </dataFields>
  <formats count="12">
    <format dxfId="1700">
      <pivotArea type="all" dataOnly="0" outline="0" fieldPosition="0"/>
    </format>
    <format dxfId="1699">
      <pivotArea outline="0" collapsedLevelsAreSubtotals="1" fieldPosition="0"/>
    </format>
    <format dxfId="1698">
      <pivotArea field="9" type="button" dataOnly="0" labelOnly="1" outline="0" axis="axisRow" fieldPosition="0"/>
    </format>
    <format dxfId="1697">
      <pivotArea dataOnly="0" labelOnly="1" outline="0" fieldPosition="0">
        <references count="1">
          <reference field="9" count="0"/>
        </references>
      </pivotArea>
    </format>
    <format dxfId="1696">
      <pivotArea dataOnly="0" labelOnly="1" grandRow="1" outline="0" fieldPosition="0"/>
    </format>
    <format dxfId="1695">
      <pivotArea dataOnly="0" labelOnly="1" outline="0" axis="axisValues" fieldPosition="0"/>
    </format>
    <format dxfId="1694">
      <pivotArea type="all" dataOnly="0" outline="0" fieldPosition="0"/>
    </format>
    <format dxfId="1693">
      <pivotArea outline="0" collapsedLevelsAreSubtotals="1" fieldPosition="0"/>
    </format>
    <format dxfId="1692">
      <pivotArea field="9" type="button" dataOnly="0" labelOnly="1" outline="0" axis="axisRow" fieldPosition="0"/>
    </format>
    <format dxfId="1691">
      <pivotArea dataOnly="0" labelOnly="1" outline="0" fieldPosition="0">
        <references count="1">
          <reference field="9" count="0"/>
        </references>
      </pivotArea>
    </format>
    <format dxfId="1690">
      <pivotArea dataOnly="0" labelOnly="1" grandRow="1" outline="0" fieldPosition="0"/>
    </format>
    <format dxfId="168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CFC53A-F1FD-4264-8210-5F62765CC306}" name="PT_ExpenseByCategory"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D3:E5" firstHeaderRow="1" firstDataRow="1" firstDataCol="1"/>
  <pivotFields count="10">
    <pivotField compact="0" outline="0" showAll="0"/>
    <pivotField compact="0" numFmtId="165" outline="0" showAll="0"/>
    <pivotField compact="0" outline="0" showAll="0">
      <items count="7">
        <item x="4"/>
        <item h="1" x="3"/>
        <item h="1" x="1"/>
        <item h="1" x="5"/>
        <item h="1" x="0"/>
        <item h="1" x="2"/>
        <item t="default"/>
      </items>
    </pivotField>
    <pivotField axis="axisRow" compact="0" outline="0" showAll="0">
      <items count="7">
        <item x="5"/>
        <item x="3"/>
        <item x="2"/>
        <item x="0"/>
        <item x="4"/>
        <item x="1"/>
        <item t="default"/>
      </items>
    </pivotField>
    <pivotField dataField="1" compact="0" numFmtId="166" outline="0" showAll="0"/>
    <pivotField compact="0" outline="0" showAll="0"/>
    <pivotField compact="0" outline="0" showAll="0"/>
    <pivotField compact="0" numFmtId="166" outline="0" showAll="0"/>
    <pivotField compact="0" numFmtId="166" outline="0" showAll="0"/>
    <pivotField compact="0" outline="0" showAll="0">
      <items count="13">
        <item h="1" x="0"/>
        <item h="1" x="2"/>
        <item h="1" x="7"/>
        <item h="1" x="3"/>
        <item h="1" x="10"/>
        <item h="1" x="9"/>
        <item h="1" x="6"/>
        <item x="11"/>
        <item h="1" x="8"/>
        <item h="1" x="5"/>
        <item h="1" x="4"/>
        <item h="1" x="1"/>
        <item t="default"/>
      </items>
    </pivotField>
  </pivotFields>
  <rowFields count="1">
    <field x="3"/>
  </rowFields>
  <rowItems count="2">
    <i>
      <x v="1"/>
    </i>
    <i t="grand">
      <x/>
    </i>
  </rowItems>
  <colItems count="1">
    <i/>
  </colItems>
  <dataFields count="1">
    <dataField name="Sum of Amount (INR)" fld="4" baseField="0" baseItem="0" numFmtId="166"/>
  </dataFields>
  <formats count="12">
    <format dxfId="1712">
      <pivotArea type="all" dataOnly="0" outline="0" fieldPosition="0"/>
    </format>
    <format dxfId="1711">
      <pivotArea outline="0" collapsedLevelsAreSubtotals="1" fieldPosition="0"/>
    </format>
    <format dxfId="1710">
      <pivotArea field="3" type="button" dataOnly="0" labelOnly="1" outline="0" axis="axisRow" fieldPosition="0"/>
    </format>
    <format dxfId="1709">
      <pivotArea dataOnly="0" labelOnly="1" outline="0" fieldPosition="0">
        <references count="1">
          <reference field="3" count="0"/>
        </references>
      </pivotArea>
    </format>
    <format dxfId="1708">
      <pivotArea dataOnly="0" labelOnly="1" grandRow="1" outline="0" fieldPosition="0"/>
    </format>
    <format dxfId="1707">
      <pivotArea dataOnly="0" labelOnly="1" outline="0" axis="axisValues" fieldPosition="0"/>
    </format>
    <format dxfId="1706">
      <pivotArea type="all" dataOnly="0" outline="0" fieldPosition="0"/>
    </format>
    <format dxfId="1705">
      <pivotArea outline="0" collapsedLevelsAreSubtotals="1" fieldPosition="0"/>
    </format>
    <format dxfId="1704">
      <pivotArea field="3" type="button" dataOnly="0" labelOnly="1" outline="0" axis="axisRow" fieldPosition="0"/>
    </format>
    <format dxfId="1703">
      <pivotArea dataOnly="0" labelOnly="1" outline="0" fieldPosition="0">
        <references count="1">
          <reference field="3" count="0"/>
        </references>
      </pivotArea>
    </format>
    <format dxfId="1702">
      <pivotArea dataOnly="0" labelOnly="1" grandRow="1" outline="0" fieldPosition="0"/>
    </format>
    <format dxfId="1701">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F4984C1-4D0D-4CCD-878D-68B5BBD4B300}" name="PT_ExpenseByDepartment" cacheId="66"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5" firstHeaderRow="1" firstDataRow="1" firstDataCol="1"/>
  <pivotFields count="10">
    <pivotField compact="0" outline="0" showAll="0"/>
    <pivotField compact="0" numFmtId="165" outline="0" showAll="0"/>
    <pivotField axis="axisRow" compact="0" outline="0" showAll="0">
      <items count="7">
        <item x="4"/>
        <item h="1" x="3"/>
        <item h="1" x="1"/>
        <item h="1" x="5"/>
        <item h="1" x="0"/>
        <item h="1" x="2"/>
        <item t="default"/>
      </items>
    </pivotField>
    <pivotField compact="0" outline="0" showAll="0"/>
    <pivotField dataField="1" compact="0" numFmtId="166" outline="0" showAll="0"/>
    <pivotField compact="0" outline="0" showAll="0"/>
    <pivotField compact="0" outline="0" showAll="0"/>
    <pivotField compact="0" numFmtId="166" outline="0" showAll="0"/>
    <pivotField compact="0" numFmtId="166" outline="0" showAll="0"/>
    <pivotField compact="0" outline="0" showAll="0">
      <items count="13">
        <item h="1" x="0"/>
        <item h="1" x="2"/>
        <item h="1" x="7"/>
        <item h="1" x="3"/>
        <item h="1" x="10"/>
        <item h="1" x="9"/>
        <item h="1" x="6"/>
        <item x="11"/>
        <item h="1" x="8"/>
        <item h="1" x="5"/>
        <item h="1" x="4"/>
        <item h="1" x="1"/>
        <item t="default"/>
      </items>
    </pivotField>
  </pivotFields>
  <rowFields count="1">
    <field x="2"/>
  </rowFields>
  <rowItems count="2">
    <i>
      <x/>
    </i>
    <i t="grand">
      <x/>
    </i>
  </rowItems>
  <colItems count="1">
    <i/>
  </colItems>
  <dataFields count="1">
    <dataField name="Sum of Amount (INR)" fld="4" baseField="0" baseItem="0" numFmtId="166"/>
  </dataFields>
  <formats count="12">
    <format dxfId="1724">
      <pivotArea type="all" dataOnly="0" outline="0" fieldPosition="0"/>
    </format>
    <format dxfId="1723">
      <pivotArea outline="0" collapsedLevelsAreSubtotals="1" fieldPosition="0"/>
    </format>
    <format dxfId="1722">
      <pivotArea field="2" type="button" dataOnly="0" labelOnly="1" outline="0" axis="axisRow" fieldPosition="0"/>
    </format>
    <format dxfId="1721">
      <pivotArea dataOnly="0" labelOnly="1" outline="0" fieldPosition="0">
        <references count="1">
          <reference field="2" count="0"/>
        </references>
      </pivotArea>
    </format>
    <format dxfId="1720">
      <pivotArea dataOnly="0" labelOnly="1" grandRow="1" outline="0" fieldPosition="0"/>
    </format>
    <format dxfId="1719">
      <pivotArea dataOnly="0" labelOnly="1" outline="0" axis="axisValues" fieldPosition="0"/>
    </format>
    <format dxfId="1718">
      <pivotArea type="all" dataOnly="0" outline="0" fieldPosition="0"/>
    </format>
    <format dxfId="1717">
      <pivotArea outline="0" collapsedLevelsAreSubtotals="1" fieldPosition="0"/>
    </format>
    <format dxfId="1716">
      <pivotArea field="2" type="button" dataOnly="0" labelOnly="1" outline="0" axis="axisRow" fieldPosition="0"/>
    </format>
    <format dxfId="1715">
      <pivotArea dataOnly="0" labelOnly="1" outline="0" fieldPosition="0">
        <references count="1">
          <reference field="2" count="0"/>
        </references>
      </pivotArea>
    </format>
    <format dxfId="1714">
      <pivotArea dataOnly="0" labelOnly="1" grandRow="1" outline="0" fieldPosition="0"/>
    </format>
    <format dxfId="1713">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5AC8863A-34DE-4549-A4CF-BE51F998AC90}" sourceName="Month">
  <pivotTables>
    <pivotTable tabId="2" name="PT_ExpenseByDepartment"/>
    <pivotTable tabId="2" name="PT_ExpenseByCategory"/>
    <pivotTable tabId="2" name="PT_MonthlyTrend"/>
    <pivotTable tabId="2" name="PT_ApprovedStatus"/>
    <pivotTable tabId="2" name="PT_KPI"/>
    <pivotTable tabId="2" name="PT_PaymentMethod"/>
    <pivotTable tabId="2" name="PT_BudgetVsActual"/>
  </pivotTables>
  <data>
    <tabular pivotCacheId="1251498148">
      <items count="12">
        <i x="2"/>
        <i x="7"/>
        <i x="9"/>
        <i x="6"/>
        <i x="11" s="1"/>
        <i x="8"/>
        <i x="5"/>
        <i x="4"/>
        <i x="0" nd="1"/>
        <i x="3" nd="1"/>
        <i x="10" nd="1"/>
        <i x="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BB09FA10-A2AB-47A5-9888-334C5F79264A}" sourceName="Department">
  <pivotTables>
    <pivotTable tabId="2" name="PT_ExpenseByDepartment"/>
    <pivotTable tabId="2" name="PT_ExpenseByCategory"/>
    <pivotTable tabId="2" name="PT_MonthlyTrend"/>
    <pivotTable tabId="2" name="PT_ApprovedStatus"/>
    <pivotTable tabId="2" name="PT_KPI"/>
    <pivotTable tabId="2" name="PT_PaymentMethod"/>
    <pivotTable tabId="2" name="PT_BudgetVsActual"/>
  </pivotTables>
  <data>
    <tabular pivotCacheId="1251498148">
      <items count="6">
        <i x="4" s="1"/>
        <i x="3"/>
        <i x="1"/>
        <i x="5" nd="1"/>
        <i x="0" nd="1"/>
        <i x="2"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 xr10:uid="{228BFBA9-CC39-4344-B4C6-071B8280D952}" cache="Slicer_Month" caption="Month" columnCount="4" style="SlicerStyleLight6" rowHeight="234950"/>
  <slicer name="Department" xr10:uid="{575D81CA-E843-4ADB-A720-258863F83A90}" cache="Slicer_Department" caption="Department" columnCount="6" style="SlicerStyleLight6" rowHeight="2349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C13923A1-8811-478C-AF99-71EE11C881D6}" name="tblExpenses" displayName="tblExpenses" ref="A1:J61" totalsRowShown="0" headerRowDxfId="1725">
  <autoFilter ref="A1:J61" xr:uid="{C13923A1-8811-478C-AF99-71EE11C881D6}"/>
  <tableColumns count="10">
    <tableColumn id="1" xr3:uid="{2979F434-42BF-439E-9F7E-29AAC67A4BE5}" name="Expense ID"/>
    <tableColumn id="2" xr3:uid="{98F8C942-0C61-41A5-8923-9E1689AE3902}" name="Date" dataDxfId="1729"/>
    <tableColumn id="3" xr3:uid="{2ED0AD18-DB7F-41CF-9043-EFBCEE3CF9F3}" name="Department"/>
    <tableColumn id="4" xr3:uid="{EA03D624-F787-4374-B0BF-C0B7CC895806}" name="Category"/>
    <tableColumn id="5" xr3:uid="{00B3913F-684E-4E86-A940-39B872C9EDBF}" name="Amount (INR)" dataDxfId="1728"/>
    <tableColumn id="6" xr3:uid="{3A64AE85-9AC7-4B85-9A79-183B2B30830D}" name="Payment Method"/>
    <tableColumn id="7" xr3:uid="{526EE68F-D63F-4641-8033-4E4CF194776E}" name="Approved"/>
    <tableColumn id="8" xr3:uid="{F5BCFD85-374E-4964-87B4-E13907AEA449}" name="Budget Allocated" dataDxfId="1727"/>
    <tableColumn id="9" xr3:uid="{2EC7E437-CFF9-480A-AA2D-1C8652F3F789}" name="Budget Remaining" dataDxfId="1726"/>
    <tableColumn id="10" xr3:uid="{FC368ABE-14D2-4C15-BAC4-DBA8C92AD02F}" name="Month">
      <calculatedColumnFormula>TEXT(tblExpenses[[#This Row],[Date]],"mmm")</calculatedColumnFormula>
    </tableColumn>
  </tableColumns>
  <tableStyleInfo name="TableStyleMedium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F9A846-F97E-4166-A4E7-F47EB107DF0E}">
  <sheetPr codeName="Sheet3">
    <pageSetUpPr fitToPage="1"/>
  </sheetPr>
  <dimension ref="A1:AF29"/>
  <sheetViews>
    <sheetView showGridLines="0" tabSelected="1" zoomScale="70" zoomScaleNormal="70" workbookViewId="0">
      <selection activeCell="AJ5" sqref="AJ5"/>
    </sheetView>
  </sheetViews>
  <sheetFormatPr defaultRowHeight="13.8" x14ac:dyDescent="0.3"/>
  <cols>
    <col min="1" max="30" width="8.109375" style="11" customWidth="1"/>
    <col min="31" max="31" width="8.88671875" style="11"/>
    <col min="32" max="33" width="0" style="11" hidden="1" customWidth="1"/>
    <col min="34" max="16384" width="8.88671875" style="11"/>
  </cols>
  <sheetData>
    <row r="1" spans="1:32" ht="22.05" customHeight="1" x14ac:dyDescent="0.3">
      <c r="A1" s="15"/>
      <c r="B1" s="15"/>
      <c r="C1" s="15"/>
      <c r="D1" s="15"/>
      <c r="E1" s="15"/>
      <c r="F1" s="15"/>
      <c r="G1" s="15"/>
      <c r="H1" s="15"/>
      <c r="I1" s="15"/>
      <c r="J1" s="15"/>
      <c r="K1" s="15"/>
      <c r="L1" s="15"/>
      <c r="M1" s="15"/>
      <c r="N1" s="15"/>
      <c r="O1" s="15"/>
      <c r="P1" s="15"/>
      <c r="Q1" s="15"/>
      <c r="R1" s="15"/>
      <c r="S1" s="15"/>
      <c r="T1" s="15"/>
      <c r="U1" s="15"/>
      <c r="V1" s="15"/>
      <c r="W1" s="15"/>
      <c r="X1" s="15"/>
      <c r="Y1" s="15"/>
      <c r="Z1" s="15"/>
      <c r="AA1" s="15"/>
      <c r="AB1" s="15"/>
      <c r="AC1" s="15"/>
      <c r="AD1" s="15"/>
    </row>
    <row r="2" spans="1:32" ht="22.05" customHeight="1" x14ac:dyDescent="0.3">
      <c r="A2" s="15"/>
      <c r="B2" s="15"/>
      <c r="C2" s="15"/>
      <c r="D2" s="15"/>
      <c r="E2" s="15"/>
      <c r="F2" s="15"/>
      <c r="G2" s="15"/>
      <c r="H2" s="15"/>
      <c r="I2" s="15"/>
      <c r="J2" s="15"/>
      <c r="K2" s="15"/>
      <c r="L2" s="15"/>
      <c r="M2" s="15"/>
      <c r="N2" s="15"/>
      <c r="O2" s="15"/>
      <c r="P2" s="15"/>
      <c r="Q2" s="15"/>
      <c r="R2" s="15"/>
      <c r="S2" s="15"/>
      <c r="T2" s="15"/>
      <c r="U2" s="15"/>
      <c r="V2" s="15"/>
      <c r="W2" s="15"/>
      <c r="X2" s="15"/>
      <c r="Y2" s="15"/>
      <c r="Z2" s="15"/>
      <c r="AA2" s="15"/>
      <c r="AB2" s="15"/>
      <c r="AC2" s="15"/>
      <c r="AD2" s="15"/>
      <c r="AF2" s="12">
        <f>IFERROR(GETPIVOTDATA("Sum of Amount (INR)",Pivot!$M$3),0)</f>
        <v>112346</v>
      </c>
    </row>
    <row r="3" spans="1:32" ht="22.05" customHeight="1" x14ac:dyDescent="0.3">
      <c r="A3" s="15"/>
      <c r="B3" s="15"/>
      <c r="C3" s="15"/>
      <c r="D3" s="15"/>
      <c r="E3" s="15"/>
      <c r="F3" s="15"/>
      <c r="G3" s="15"/>
      <c r="H3" s="15"/>
      <c r="I3" s="15"/>
      <c r="J3" s="15"/>
      <c r="K3" s="15"/>
      <c r="L3" s="15"/>
      <c r="M3" s="15"/>
      <c r="N3" s="15"/>
      <c r="O3" s="15"/>
      <c r="P3" s="15"/>
      <c r="Q3" s="15"/>
      <c r="R3" s="15"/>
      <c r="S3" s="15"/>
      <c r="T3" s="15"/>
      <c r="U3" s="15"/>
      <c r="V3" s="15"/>
      <c r="W3" s="15"/>
      <c r="X3" s="15"/>
      <c r="Y3" s="15"/>
      <c r="Z3" s="15"/>
      <c r="AA3" s="15"/>
      <c r="AB3" s="15"/>
      <c r="AC3" s="15"/>
      <c r="AD3" s="15"/>
      <c r="AF3" s="12">
        <f>IFERROR(GETPIVOTDATA("Sum of Budget Allocated",Pivot!$M$3),0)</f>
        <v>191867</v>
      </c>
    </row>
    <row r="4" spans="1:32" ht="18" customHeight="1" x14ac:dyDescent="0.3">
      <c r="A4" s="15"/>
      <c r="B4" s="15"/>
      <c r="C4" s="15"/>
      <c r="D4" s="15"/>
      <c r="E4" s="15"/>
      <c r="F4" s="15"/>
      <c r="G4" s="15"/>
      <c r="H4" s="15"/>
      <c r="I4" s="15"/>
      <c r="J4" s="15"/>
      <c r="K4" s="15"/>
      <c r="L4" s="15"/>
      <c r="M4" s="15"/>
      <c r="N4" s="15"/>
      <c r="O4" s="15"/>
      <c r="P4" s="15"/>
      <c r="Q4" s="15"/>
      <c r="R4" s="15"/>
      <c r="S4" s="15"/>
      <c r="T4" s="15"/>
      <c r="U4" s="15"/>
      <c r="V4" s="15"/>
      <c r="W4" s="15"/>
      <c r="X4" s="15"/>
      <c r="Y4" s="15"/>
      <c r="Z4" s="15"/>
      <c r="AA4" s="15"/>
      <c r="AB4" s="15"/>
      <c r="AC4" s="15"/>
      <c r="AD4" s="15"/>
      <c r="AF4" s="12">
        <f>IFERROR(GETPIVOTDATA("Sum of Budget Remaining",Pivot!$M$3),0)</f>
        <v>79521</v>
      </c>
    </row>
    <row r="5" spans="1:32" ht="18" customHeight="1" x14ac:dyDescent="0.3">
      <c r="A5" s="15"/>
      <c r="B5" s="15"/>
      <c r="C5" s="15"/>
      <c r="D5" s="15"/>
      <c r="E5" s="15"/>
      <c r="F5" s="15"/>
      <c r="G5" s="15"/>
      <c r="H5" s="15"/>
      <c r="I5" s="15"/>
      <c r="J5" s="15"/>
      <c r="K5" s="15"/>
      <c r="L5" s="15"/>
      <c r="M5" s="15"/>
      <c r="N5" s="15"/>
      <c r="O5" s="15"/>
      <c r="P5" s="15"/>
      <c r="Q5" s="15"/>
      <c r="R5" s="15"/>
      <c r="S5" s="15"/>
      <c r="T5" s="15"/>
      <c r="U5" s="15"/>
      <c r="V5" s="15"/>
      <c r="W5" s="15"/>
      <c r="X5" s="15"/>
      <c r="Y5" s="15"/>
      <c r="Z5" s="15"/>
      <c r="AA5" s="15"/>
      <c r="AB5" s="15"/>
      <c r="AC5" s="15"/>
      <c r="AD5" s="15"/>
      <c r="AF5" s="13">
        <f>IFERROR(GETPIVOTDATA("Count of Expense ID",Pivot!$M$3),0)</f>
        <v>1</v>
      </c>
    </row>
    <row r="6" spans="1:32" ht="18" customHeight="1" x14ac:dyDescent="0.3">
      <c r="A6" s="15"/>
      <c r="B6" s="15"/>
      <c r="C6" s="15"/>
      <c r="D6" s="15"/>
      <c r="E6" s="15"/>
      <c r="F6" s="15"/>
      <c r="G6" s="15"/>
      <c r="H6" s="15"/>
      <c r="I6" s="15"/>
      <c r="J6" s="15"/>
      <c r="K6" s="15"/>
      <c r="L6" s="15"/>
      <c r="M6" s="15"/>
      <c r="N6" s="15"/>
      <c r="O6" s="15"/>
      <c r="P6" s="15"/>
      <c r="Q6" s="15"/>
      <c r="R6" s="15"/>
      <c r="S6" s="15"/>
      <c r="T6" s="15"/>
      <c r="U6" s="15"/>
      <c r="V6" s="15"/>
      <c r="W6" s="15"/>
      <c r="X6" s="15"/>
      <c r="Y6" s="15"/>
      <c r="Z6" s="15"/>
      <c r="AA6" s="15"/>
      <c r="AB6" s="15"/>
      <c r="AC6" s="15"/>
      <c r="AD6" s="15"/>
      <c r="AF6" s="14">
        <f>IFERROR(GETPIVOTDATA("Count of Expense ID",Pivot!$J$3,"Approved","Yes")/AF5,0)</f>
        <v>1</v>
      </c>
    </row>
    <row r="7" spans="1:32" ht="18" customHeight="1" x14ac:dyDescent="0.3">
      <c r="A7" s="15"/>
      <c r="B7" s="15"/>
      <c r="C7" s="15"/>
      <c r="D7" s="15"/>
      <c r="E7" s="15"/>
      <c r="F7" s="15"/>
      <c r="G7" s="15"/>
      <c r="H7" s="15"/>
      <c r="I7" s="15"/>
      <c r="J7" s="15"/>
      <c r="K7" s="15"/>
      <c r="L7" s="15"/>
      <c r="M7" s="15"/>
      <c r="N7" s="15"/>
      <c r="O7" s="15"/>
      <c r="P7" s="15"/>
      <c r="Q7" s="15"/>
      <c r="R7" s="15"/>
      <c r="S7" s="15"/>
      <c r="T7" s="15"/>
      <c r="U7" s="15"/>
      <c r="V7" s="15"/>
      <c r="W7" s="15"/>
      <c r="X7" s="15"/>
      <c r="Y7" s="15"/>
      <c r="Z7" s="15"/>
      <c r="AA7" s="15"/>
      <c r="AB7" s="15"/>
      <c r="AC7" s="15"/>
      <c r="AD7" s="15"/>
      <c r="AF7" s="12">
        <f>IFERROR(AF2/AF5,0)</f>
        <v>112346</v>
      </c>
    </row>
    <row r="8" spans="1:32" ht="18" customHeight="1" x14ac:dyDescent="0.3">
      <c r="A8" s="15"/>
      <c r="B8" s="15"/>
      <c r="C8" s="15"/>
      <c r="D8" s="15"/>
      <c r="E8" s="15"/>
      <c r="F8" s="15"/>
      <c r="G8" s="15"/>
      <c r="H8" s="15"/>
      <c r="I8" s="15"/>
      <c r="J8" s="15"/>
      <c r="K8" s="15"/>
      <c r="L8" s="15"/>
      <c r="M8" s="15"/>
      <c r="N8" s="15"/>
      <c r="O8" s="15"/>
      <c r="P8" s="15"/>
      <c r="Q8" s="15"/>
      <c r="R8" s="15"/>
      <c r="S8" s="15"/>
      <c r="T8" s="15"/>
      <c r="U8" s="15"/>
      <c r="V8" s="15"/>
      <c r="W8" s="15"/>
      <c r="X8" s="15"/>
      <c r="Y8" s="15"/>
      <c r="Z8" s="15"/>
      <c r="AA8" s="15"/>
      <c r="AB8" s="15"/>
      <c r="AC8" s="15"/>
      <c r="AD8" s="15"/>
    </row>
    <row r="9" spans="1:32" ht="18" customHeight="1" x14ac:dyDescent="0.3">
      <c r="A9" s="15"/>
      <c r="B9" s="15"/>
      <c r="C9" s="15"/>
      <c r="D9" s="15"/>
      <c r="E9" s="15"/>
      <c r="F9" s="15"/>
      <c r="G9" s="15"/>
      <c r="H9" s="15"/>
      <c r="I9" s="15"/>
      <c r="J9" s="15"/>
      <c r="K9" s="15"/>
      <c r="L9" s="15"/>
      <c r="M9" s="15"/>
      <c r="N9" s="15"/>
      <c r="O9" s="15"/>
      <c r="P9" s="15"/>
      <c r="Q9" s="15"/>
      <c r="R9" s="15"/>
      <c r="S9" s="15"/>
      <c r="T9" s="15"/>
      <c r="U9" s="15"/>
      <c r="V9" s="15"/>
      <c r="W9" s="15"/>
      <c r="X9" s="15"/>
      <c r="Y9" s="15"/>
      <c r="Z9" s="15"/>
      <c r="AA9" s="15"/>
      <c r="AB9" s="15"/>
      <c r="AC9" s="15"/>
      <c r="AD9" s="15"/>
    </row>
    <row r="10" spans="1:32" ht="18" customHeight="1" x14ac:dyDescent="0.3">
      <c r="A10" s="15"/>
      <c r="B10" s="15"/>
      <c r="C10" s="15"/>
      <c r="D10" s="15"/>
      <c r="E10" s="15"/>
      <c r="F10" s="15"/>
      <c r="G10" s="15"/>
      <c r="H10" s="15"/>
      <c r="I10" s="15"/>
      <c r="J10" s="15"/>
      <c r="K10" s="15"/>
      <c r="L10" s="15"/>
      <c r="M10" s="15"/>
      <c r="N10" s="15"/>
      <c r="O10" s="15"/>
      <c r="P10" s="15"/>
      <c r="Q10" s="15"/>
      <c r="R10" s="15"/>
      <c r="S10" s="15"/>
      <c r="T10" s="15"/>
      <c r="U10" s="15"/>
      <c r="V10" s="15"/>
      <c r="W10" s="15"/>
      <c r="X10" s="15"/>
      <c r="Y10" s="15"/>
      <c r="Z10" s="15"/>
      <c r="AA10" s="15"/>
      <c r="AB10" s="15"/>
      <c r="AC10" s="15"/>
      <c r="AD10" s="15"/>
    </row>
    <row r="11" spans="1:32" ht="18" customHeight="1" x14ac:dyDescent="0.3">
      <c r="A11" s="15"/>
      <c r="B11" s="15"/>
      <c r="C11" s="15"/>
      <c r="D11" s="15"/>
      <c r="E11" s="15"/>
      <c r="F11" s="15"/>
      <c r="G11" s="15"/>
      <c r="H11" s="15"/>
      <c r="I11" s="15"/>
      <c r="J11" s="15"/>
      <c r="K11" s="15"/>
      <c r="L11" s="15"/>
      <c r="M11" s="15"/>
      <c r="N11" s="15"/>
      <c r="O11" s="15"/>
      <c r="P11" s="15"/>
      <c r="Q11" s="15"/>
      <c r="R11" s="15"/>
      <c r="S11" s="15"/>
      <c r="T11" s="15"/>
      <c r="U11" s="15"/>
      <c r="V11" s="15"/>
      <c r="W11" s="15"/>
      <c r="X11" s="15"/>
      <c r="Y11" s="15"/>
      <c r="Z11" s="15"/>
      <c r="AA11" s="15"/>
      <c r="AB11" s="15"/>
      <c r="AC11" s="15"/>
      <c r="AD11" s="15"/>
    </row>
    <row r="12" spans="1:32" ht="18" customHeight="1" x14ac:dyDescent="0.3">
      <c r="A12" s="15"/>
      <c r="B12" s="15"/>
      <c r="C12" s="15"/>
      <c r="D12" s="15"/>
      <c r="E12" s="15"/>
      <c r="F12" s="15"/>
      <c r="G12" s="15"/>
      <c r="H12" s="15"/>
      <c r="I12" s="15"/>
      <c r="J12" s="15"/>
      <c r="K12" s="15"/>
      <c r="L12" s="15"/>
      <c r="M12" s="15"/>
      <c r="N12" s="15"/>
      <c r="O12" s="15"/>
      <c r="P12" s="15"/>
      <c r="Q12" s="15"/>
      <c r="R12" s="15"/>
      <c r="S12" s="15"/>
      <c r="T12" s="15"/>
      <c r="U12" s="15"/>
      <c r="V12" s="15"/>
      <c r="W12" s="15"/>
      <c r="X12" s="15"/>
      <c r="Y12" s="15"/>
      <c r="Z12" s="15"/>
      <c r="AA12" s="15"/>
      <c r="AB12" s="15"/>
      <c r="AC12" s="15"/>
      <c r="AD12" s="15"/>
    </row>
    <row r="13" spans="1:32" ht="18" customHeight="1" x14ac:dyDescent="0.3">
      <c r="A13" s="15"/>
      <c r="B13" s="15"/>
      <c r="C13" s="15"/>
      <c r="D13" s="15"/>
      <c r="E13" s="15"/>
      <c r="F13" s="15"/>
      <c r="G13" s="15"/>
      <c r="H13" s="15"/>
      <c r="I13" s="15"/>
      <c r="J13" s="15"/>
      <c r="K13" s="15"/>
      <c r="L13" s="15"/>
      <c r="M13" s="15"/>
      <c r="N13" s="15"/>
      <c r="O13" s="15"/>
      <c r="P13" s="15"/>
      <c r="Q13" s="15"/>
      <c r="R13" s="15"/>
      <c r="S13" s="15"/>
      <c r="T13" s="15"/>
      <c r="U13" s="15"/>
      <c r="V13" s="15"/>
      <c r="W13" s="15"/>
      <c r="X13" s="15"/>
      <c r="Y13" s="15"/>
      <c r="Z13" s="15"/>
      <c r="AA13" s="15"/>
      <c r="AB13" s="15"/>
      <c r="AC13" s="15"/>
      <c r="AD13" s="15"/>
    </row>
    <row r="14" spans="1:32" ht="18" customHeight="1" x14ac:dyDescent="0.3">
      <c r="A14" s="15"/>
      <c r="B14" s="15"/>
      <c r="C14" s="15"/>
      <c r="D14" s="15"/>
      <c r="E14" s="15"/>
      <c r="F14" s="15"/>
      <c r="G14" s="15"/>
      <c r="H14" s="15"/>
      <c r="I14" s="15"/>
      <c r="J14" s="15"/>
      <c r="K14" s="15"/>
      <c r="L14" s="15"/>
      <c r="M14" s="15"/>
      <c r="N14" s="15"/>
      <c r="O14" s="15"/>
      <c r="P14" s="15"/>
      <c r="Q14" s="15"/>
      <c r="R14" s="15"/>
      <c r="S14" s="15"/>
      <c r="T14" s="15"/>
      <c r="U14" s="15"/>
      <c r="V14" s="15"/>
      <c r="W14" s="15"/>
      <c r="X14" s="15"/>
      <c r="Y14" s="15"/>
      <c r="Z14" s="15"/>
      <c r="AA14" s="15"/>
      <c r="AB14" s="15"/>
      <c r="AC14" s="15"/>
      <c r="AD14" s="15"/>
    </row>
    <row r="15" spans="1:32" ht="18" customHeight="1" x14ac:dyDescent="0.3">
      <c r="A15" s="15"/>
      <c r="B15" s="15"/>
      <c r="C15" s="15"/>
      <c r="D15" s="15"/>
      <c r="E15" s="15"/>
      <c r="F15" s="15"/>
      <c r="G15" s="15"/>
      <c r="H15" s="15"/>
      <c r="I15" s="15"/>
      <c r="J15" s="15"/>
      <c r="K15" s="15"/>
      <c r="L15" s="15"/>
      <c r="M15" s="15"/>
      <c r="N15" s="15"/>
      <c r="O15" s="15"/>
      <c r="P15" s="15"/>
      <c r="Q15" s="15"/>
      <c r="R15" s="15"/>
      <c r="S15" s="15"/>
      <c r="T15" s="15"/>
      <c r="U15" s="15"/>
      <c r="V15" s="15"/>
      <c r="W15" s="15"/>
      <c r="X15" s="15"/>
      <c r="Y15" s="15"/>
      <c r="Z15" s="15"/>
      <c r="AA15" s="15"/>
      <c r="AB15" s="15"/>
      <c r="AC15" s="15"/>
      <c r="AD15" s="15"/>
    </row>
    <row r="16" spans="1:32" ht="18" customHeight="1" x14ac:dyDescent="0.3">
      <c r="A16" s="15"/>
      <c r="B16" s="15"/>
      <c r="C16" s="15"/>
      <c r="D16" s="15"/>
      <c r="E16" s="15"/>
      <c r="F16" s="15"/>
      <c r="G16" s="15"/>
      <c r="H16" s="15"/>
      <c r="I16" s="15"/>
      <c r="J16" s="15"/>
      <c r="K16" s="15"/>
      <c r="L16" s="15"/>
      <c r="M16" s="15"/>
      <c r="N16" s="15"/>
      <c r="O16" s="15"/>
      <c r="P16" s="15"/>
      <c r="Q16" s="15"/>
      <c r="R16" s="15"/>
      <c r="S16" s="15"/>
      <c r="T16" s="15"/>
      <c r="U16" s="15"/>
      <c r="V16" s="15"/>
      <c r="W16" s="15"/>
      <c r="X16" s="15"/>
      <c r="Y16" s="15"/>
      <c r="Z16" s="15"/>
      <c r="AA16" s="15"/>
      <c r="AB16" s="15"/>
      <c r="AC16" s="15"/>
      <c r="AD16" s="15"/>
    </row>
    <row r="17" spans="1:30" ht="18" customHeight="1" x14ac:dyDescent="0.3">
      <c r="A17" s="15"/>
      <c r="B17" s="15"/>
      <c r="C17" s="15"/>
      <c r="D17" s="15"/>
      <c r="E17" s="15"/>
      <c r="F17" s="15"/>
      <c r="G17" s="15"/>
      <c r="H17" s="15"/>
      <c r="I17" s="15"/>
      <c r="J17" s="15"/>
      <c r="K17" s="15"/>
      <c r="L17" s="15"/>
      <c r="M17" s="15"/>
      <c r="N17" s="15"/>
      <c r="O17" s="15"/>
      <c r="P17" s="15"/>
      <c r="Q17" s="15"/>
      <c r="R17" s="15"/>
      <c r="S17" s="15"/>
      <c r="T17" s="15"/>
      <c r="U17" s="15"/>
      <c r="V17" s="15"/>
      <c r="W17" s="15"/>
      <c r="X17" s="15"/>
      <c r="Y17" s="15"/>
      <c r="Z17" s="15"/>
      <c r="AA17" s="15"/>
      <c r="AB17" s="15"/>
      <c r="AC17" s="15"/>
      <c r="AD17" s="15"/>
    </row>
    <row r="18" spans="1:30" ht="18" customHeight="1" x14ac:dyDescent="0.3">
      <c r="A18" s="15"/>
      <c r="B18" s="15"/>
      <c r="C18" s="15"/>
      <c r="D18" s="15"/>
      <c r="E18" s="15"/>
      <c r="F18" s="15"/>
      <c r="G18" s="15"/>
      <c r="H18" s="15"/>
      <c r="I18" s="15"/>
      <c r="J18" s="15"/>
      <c r="K18" s="15"/>
      <c r="L18" s="15"/>
      <c r="M18" s="15"/>
      <c r="N18" s="15"/>
      <c r="O18" s="15"/>
      <c r="P18" s="15"/>
      <c r="Q18" s="15"/>
      <c r="R18" s="15"/>
      <c r="S18" s="15"/>
      <c r="T18" s="15"/>
      <c r="U18" s="15"/>
      <c r="V18" s="15"/>
      <c r="W18" s="15"/>
      <c r="X18" s="15"/>
      <c r="Y18" s="15"/>
      <c r="Z18" s="15"/>
      <c r="AA18" s="15"/>
      <c r="AB18" s="15"/>
      <c r="AC18" s="15"/>
      <c r="AD18" s="15"/>
    </row>
    <row r="19" spans="1:30" ht="18" customHeight="1" x14ac:dyDescent="0.3">
      <c r="A19" s="15"/>
      <c r="B19" s="15"/>
      <c r="C19" s="15"/>
      <c r="D19" s="15"/>
      <c r="E19" s="15"/>
      <c r="F19" s="15"/>
      <c r="G19" s="15"/>
      <c r="H19" s="15"/>
      <c r="I19" s="15"/>
      <c r="J19" s="15"/>
      <c r="K19" s="15"/>
      <c r="L19" s="15"/>
      <c r="M19" s="15"/>
      <c r="N19" s="15"/>
      <c r="O19" s="15"/>
      <c r="P19" s="15"/>
      <c r="Q19" s="15"/>
      <c r="R19" s="15"/>
      <c r="S19" s="15"/>
      <c r="T19" s="15"/>
      <c r="U19" s="15"/>
      <c r="V19" s="15"/>
      <c r="W19" s="15"/>
      <c r="X19" s="15"/>
      <c r="Y19" s="15"/>
      <c r="Z19" s="15"/>
      <c r="AA19" s="15"/>
      <c r="AB19" s="15"/>
      <c r="AC19" s="15"/>
      <c r="AD19" s="15"/>
    </row>
    <row r="20" spans="1:30" ht="18" customHeight="1" x14ac:dyDescent="0.3">
      <c r="A20" s="15"/>
      <c r="B20" s="15"/>
      <c r="C20" s="15"/>
      <c r="D20" s="15"/>
      <c r="E20" s="15"/>
      <c r="F20" s="15"/>
      <c r="G20" s="15"/>
      <c r="H20" s="15"/>
      <c r="I20" s="15"/>
      <c r="J20" s="15"/>
      <c r="K20" s="15"/>
      <c r="L20" s="15"/>
      <c r="M20" s="15"/>
      <c r="N20" s="15"/>
      <c r="O20" s="15"/>
      <c r="P20" s="15"/>
      <c r="Q20" s="15"/>
      <c r="R20" s="15"/>
      <c r="S20" s="15"/>
      <c r="T20" s="15"/>
      <c r="U20" s="15"/>
      <c r="V20" s="15"/>
      <c r="W20" s="15"/>
      <c r="X20" s="15"/>
      <c r="Y20" s="15"/>
      <c r="Z20" s="15"/>
      <c r="AA20" s="15"/>
      <c r="AB20" s="15"/>
      <c r="AC20" s="15"/>
      <c r="AD20" s="15"/>
    </row>
    <row r="21" spans="1:30" ht="18" customHeight="1" x14ac:dyDescent="0.3">
      <c r="A21" s="15"/>
      <c r="B21" s="15"/>
      <c r="C21" s="15"/>
      <c r="D21" s="15"/>
      <c r="E21" s="15"/>
      <c r="F21" s="15"/>
      <c r="G21" s="15"/>
      <c r="H21" s="15"/>
      <c r="I21" s="15"/>
      <c r="J21" s="15"/>
      <c r="K21" s="15"/>
      <c r="L21" s="15"/>
      <c r="M21" s="15"/>
      <c r="N21" s="15"/>
      <c r="O21" s="15"/>
      <c r="P21" s="15"/>
      <c r="Q21" s="15"/>
      <c r="R21" s="15"/>
      <c r="S21" s="15"/>
      <c r="T21" s="15"/>
      <c r="U21" s="15"/>
      <c r="V21" s="15"/>
      <c r="W21" s="15"/>
      <c r="X21" s="15"/>
      <c r="Y21" s="15"/>
      <c r="Z21" s="15"/>
      <c r="AA21" s="15"/>
      <c r="AB21" s="15"/>
      <c r="AC21" s="15"/>
      <c r="AD21" s="15"/>
    </row>
    <row r="22" spans="1:30" ht="18" customHeight="1" x14ac:dyDescent="0.3">
      <c r="A22" s="15"/>
      <c r="B22" s="15"/>
      <c r="C22" s="15"/>
      <c r="D22" s="15"/>
      <c r="E22" s="15"/>
      <c r="F22" s="15"/>
      <c r="G22" s="15"/>
      <c r="H22" s="15"/>
      <c r="I22" s="15"/>
      <c r="J22" s="15"/>
      <c r="K22" s="15"/>
      <c r="L22" s="15"/>
      <c r="M22" s="15"/>
      <c r="N22" s="15"/>
      <c r="O22" s="15"/>
      <c r="P22" s="15"/>
      <c r="Q22" s="15"/>
      <c r="R22" s="15"/>
      <c r="S22" s="15"/>
      <c r="T22" s="15"/>
      <c r="U22" s="15"/>
      <c r="V22" s="15"/>
      <c r="W22" s="15"/>
      <c r="X22" s="15"/>
      <c r="Y22" s="15"/>
      <c r="Z22" s="15"/>
      <c r="AA22" s="15"/>
      <c r="AB22" s="15"/>
      <c r="AC22" s="15"/>
      <c r="AD22" s="15"/>
    </row>
    <row r="23" spans="1:30" ht="18" customHeight="1" x14ac:dyDescent="0.3">
      <c r="A23" s="15"/>
      <c r="B23" s="15"/>
      <c r="C23" s="15"/>
      <c r="D23" s="15"/>
      <c r="E23" s="15"/>
      <c r="F23" s="15"/>
      <c r="G23" s="15"/>
      <c r="H23" s="15"/>
      <c r="I23" s="15"/>
      <c r="J23" s="15"/>
      <c r="K23" s="15"/>
      <c r="L23" s="15"/>
      <c r="M23" s="15"/>
      <c r="N23" s="15"/>
      <c r="O23" s="15"/>
      <c r="P23" s="15"/>
      <c r="Q23" s="15"/>
      <c r="R23" s="15"/>
      <c r="S23" s="15"/>
      <c r="T23" s="15"/>
      <c r="U23" s="15"/>
      <c r="V23" s="15"/>
      <c r="W23" s="15"/>
      <c r="X23" s="15"/>
      <c r="Y23" s="15"/>
      <c r="Z23" s="15"/>
      <c r="AA23" s="15"/>
      <c r="AB23" s="15"/>
      <c r="AC23" s="15"/>
      <c r="AD23" s="15"/>
    </row>
    <row r="24" spans="1:30" ht="18" customHeight="1" x14ac:dyDescent="0.3">
      <c r="A24" s="15"/>
      <c r="B24" s="15"/>
      <c r="C24" s="15"/>
      <c r="D24" s="15"/>
      <c r="E24" s="15"/>
      <c r="F24" s="15"/>
      <c r="G24" s="15"/>
      <c r="H24" s="15"/>
      <c r="I24" s="15"/>
      <c r="J24" s="15"/>
      <c r="K24" s="15"/>
      <c r="L24" s="15"/>
      <c r="M24" s="15"/>
      <c r="N24" s="15"/>
      <c r="O24" s="15"/>
      <c r="P24" s="15"/>
      <c r="Q24" s="15"/>
      <c r="R24" s="15"/>
      <c r="S24" s="15"/>
      <c r="T24" s="15"/>
      <c r="U24" s="15"/>
      <c r="V24" s="15"/>
      <c r="W24" s="15"/>
      <c r="X24" s="15"/>
      <c r="Y24" s="15"/>
      <c r="Z24" s="15"/>
      <c r="AA24" s="15"/>
      <c r="AB24" s="15"/>
      <c r="AC24" s="15"/>
      <c r="AD24" s="15"/>
    </row>
    <row r="25" spans="1:30" ht="18" customHeight="1" x14ac:dyDescent="0.3">
      <c r="A25" s="15"/>
      <c r="B25" s="15"/>
      <c r="C25" s="15"/>
      <c r="D25" s="15"/>
      <c r="E25" s="15"/>
      <c r="F25" s="15"/>
      <c r="G25" s="15"/>
      <c r="H25" s="15"/>
      <c r="I25" s="15"/>
      <c r="J25" s="15"/>
      <c r="K25" s="15"/>
      <c r="L25" s="15"/>
      <c r="M25" s="15"/>
      <c r="N25" s="15"/>
      <c r="O25" s="15"/>
      <c r="P25" s="15"/>
      <c r="Q25" s="15"/>
      <c r="R25" s="15"/>
      <c r="S25" s="15"/>
      <c r="T25" s="15"/>
      <c r="U25" s="15"/>
      <c r="V25" s="15"/>
      <c r="W25" s="15"/>
      <c r="X25" s="15"/>
      <c r="Y25" s="15"/>
      <c r="Z25" s="15"/>
      <c r="AA25" s="15"/>
      <c r="AB25" s="15"/>
      <c r="AC25" s="15"/>
      <c r="AD25" s="15"/>
    </row>
    <row r="26" spans="1:30" ht="18" customHeight="1" x14ac:dyDescent="0.3">
      <c r="A26" s="15"/>
      <c r="B26" s="15"/>
      <c r="C26" s="15"/>
      <c r="D26" s="15"/>
      <c r="E26" s="15"/>
      <c r="F26" s="15"/>
      <c r="G26" s="15"/>
      <c r="H26" s="15"/>
      <c r="I26" s="15"/>
      <c r="J26" s="15"/>
      <c r="K26" s="15"/>
      <c r="L26" s="15"/>
      <c r="M26" s="15"/>
      <c r="N26" s="15"/>
      <c r="O26" s="15"/>
      <c r="P26" s="15"/>
      <c r="Q26" s="15"/>
      <c r="R26" s="15"/>
      <c r="S26" s="15"/>
      <c r="T26" s="15"/>
      <c r="U26" s="15"/>
      <c r="V26" s="15"/>
      <c r="W26" s="15"/>
      <c r="X26" s="15"/>
      <c r="Y26" s="15"/>
      <c r="Z26" s="15"/>
      <c r="AA26" s="15"/>
      <c r="AB26" s="15"/>
      <c r="AC26" s="15"/>
      <c r="AD26" s="15"/>
    </row>
    <row r="27" spans="1:30" ht="18" customHeight="1" x14ac:dyDescent="0.3">
      <c r="A27" s="15"/>
      <c r="B27" s="15"/>
      <c r="C27" s="15"/>
      <c r="D27" s="15"/>
      <c r="E27" s="15"/>
      <c r="F27" s="15"/>
      <c r="G27" s="15"/>
      <c r="H27" s="15"/>
      <c r="I27" s="15"/>
      <c r="J27" s="15"/>
      <c r="K27" s="15"/>
      <c r="L27" s="15"/>
      <c r="M27" s="15"/>
      <c r="N27" s="15"/>
      <c r="O27" s="15"/>
      <c r="P27" s="15"/>
      <c r="Q27" s="15"/>
      <c r="R27" s="15"/>
      <c r="S27" s="15"/>
      <c r="T27" s="15"/>
      <c r="U27" s="15"/>
      <c r="V27" s="15"/>
      <c r="W27" s="15"/>
      <c r="X27" s="15"/>
      <c r="Y27" s="15"/>
      <c r="Z27" s="15"/>
      <c r="AA27" s="15"/>
      <c r="AB27" s="15"/>
      <c r="AC27" s="15"/>
      <c r="AD27" s="15"/>
    </row>
    <row r="28" spans="1:30" ht="18" customHeight="1" x14ac:dyDescent="0.3">
      <c r="A28" s="15"/>
      <c r="B28" s="15"/>
      <c r="C28" s="15"/>
      <c r="D28" s="15"/>
      <c r="E28" s="15"/>
      <c r="F28" s="15"/>
      <c r="G28" s="15"/>
      <c r="H28" s="15"/>
      <c r="I28" s="15"/>
      <c r="J28" s="15"/>
      <c r="K28" s="15"/>
      <c r="L28" s="15"/>
      <c r="M28" s="15"/>
      <c r="N28" s="15"/>
      <c r="O28" s="15"/>
      <c r="P28" s="15"/>
      <c r="Q28" s="15"/>
      <c r="R28" s="15"/>
      <c r="S28" s="15"/>
      <c r="T28" s="15"/>
      <c r="U28" s="15"/>
      <c r="V28" s="15"/>
      <c r="W28" s="15"/>
      <c r="X28" s="15"/>
      <c r="Y28" s="15"/>
      <c r="Z28" s="15"/>
      <c r="AA28" s="15"/>
      <c r="AB28" s="15"/>
      <c r="AC28" s="15"/>
      <c r="AD28" s="15"/>
    </row>
    <row r="29" spans="1:30" ht="18" customHeight="1" x14ac:dyDescent="0.3">
      <c r="A29" s="15"/>
      <c r="B29" s="15"/>
      <c r="C29" s="15"/>
      <c r="D29" s="15"/>
      <c r="E29" s="15"/>
      <c r="F29" s="15"/>
      <c r="G29" s="15"/>
      <c r="H29" s="15"/>
      <c r="I29" s="15"/>
      <c r="J29" s="15"/>
      <c r="K29" s="15"/>
      <c r="L29" s="15"/>
      <c r="M29" s="15"/>
      <c r="N29" s="15"/>
      <c r="O29" s="15"/>
      <c r="P29" s="15"/>
      <c r="Q29" s="15"/>
      <c r="R29" s="15"/>
      <c r="S29" s="15"/>
      <c r="T29" s="15"/>
      <c r="U29" s="15"/>
      <c r="V29" s="15"/>
      <c r="W29" s="15"/>
      <c r="X29" s="15"/>
      <c r="Y29" s="15"/>
      <c r="Z29" s="15"/>
      <c r="AA29" s="15"/>
      <c r="AB29" s="15"/>
      <c r="AC29" s="15"/>
      <c r="AD29" s="15"/>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J61"/>
  <sheetViews>
    <sheetView workbookViewId="0"/>
  </sheetViews>
  <sheetFormatPr defaultRowHeight="14.4" x14ac:dyDescent="0.3"/>
  <cols>
    <col min="1" max="1" width="12.33203125" bestFit="1" customWidth="1"/>
    <col min="2" max="2" width="11.88671875" bestFit="1" customWidth="1"/>
    <col min="3" max="3" width="13.33203125" bestFit="1" customWidth="1"/>
    <col min="4" max="4" width="13.109375" bestFit="1" customWidth="1"/>
    <col min="5" max="5" width="14.88671875" bestFit="1" customWidth="1"/>
    <col min="6" max="6" width="18.109375" bestFit="1" customWidth="1"/>
    <col min="7" max="7" width="11.5546875" bestFit="1" customWidth="1"/>
    <col min="8" max="8" width="17.6640625" bestFit="1" customWidth="1"/>
    <col min="9" max="9" width="18.6640625" bestFit="1" customWidth="1"/>
    <col min="10" max="10" width="9" bestFit="1" customWidth="1"/>
  </cols>
  <sheetData>
    <row r="1" spans="1:10" s="3" customFormat="1" x14ac:dyDescent="0.3">
      <c r="A1" s="3" t="s">
        <v>0</v>
      </c>
      <c r="B1" s="3" t="s">
        <v>1</v>
      </c>
      <c r="C1" s="3" t="s">
        <v>2</v>
      </c>
      <c r="D1" s="3" t="s">
        <v>3</v>
      </c>
      <c r="E1" s="3" t="s">
        <v>4</v>
      </c>
      <c r="F1" s="3" t="s">
        <v>5</v>
      </c>
      <c r="G1" s="3" t="s">
        <v>6</v>
      </c>
      <c r="H1" s="3" t="s">
        <v>7</v>
      </c>
      <c r="I1" s="3" t="s">
        <v>8</v>
      </c>
      <c r="J1" s="3" t="s">
        <v>87</v>
      </c>
    </row>
    <row r="2" spans="1:10" x14ac:dyDescent="0.3">
      <c r="A2" t="s">
        <v>9</v>
      </c>
      <c r="B2" s="1">
        <v>45670</v>
      </c>
      <c r="C2" t="s">
        <v>10</v>
      </c>
      <c r="D2" t="s">
        <v>11</v>
      </c>
      <c r="E2" s="2">
        <v>177621</v>
      </c>
      <c r="F2" t="s">
        <v>12</v>
      </c>
      <c r="G2" t="s">
        <v>13</v>
      </c>
      <c r="H2" s="2">
        <v>216805</v>
      </c>
      <c r="I2" s="2">
        <v>39184</v>
      </c>
      <c r="J2" t="str">
        <f>TEXT(tblExpenses[[#This Row],[Date]],"mmm")</f>
        <v>Jan</v>
      </c>
    </row>
    <row r="3" spans="1:10" x14ac:dyDescent="0.3">
      <c r="A3" t="s">
        <v>14</v>
      </c>
      <c r="B3" s="1">
        <v>46004</v>
      </c>
      <c r="C3" t="s">
        <v>10</v>
      </c>
      <c r="D3" t="s">
        <v>15</v>
      </c>
      <c r="E3" s="2">
        <v>46579</v>
      </c>
      <c r="F3" t="s">
        <v>16</v>
      </c>
      <c r="G3" t="s">
        <v>17</v>
      </c>
      <c r="H3" s="2">
        <v>83447</v>
      </c>
      <c r="I3" s="2">
        <v>36868</v>
      </c>
      <c r="J3" t="str">
        <f>TEXT(tblExpenses[[#This Row],[Date]],"mmm")</f>
        <v>Dec</v>
      </c>
    </row>
    <row r="4" spans="1:10" x14ac:dyDescent="0.3">
      <c r="A4" t="s">
        <v>18</v>
      </c>
      <c r="B4" s="1">
        <v>45705</v>
      </c>
      <c r="C4" t="s">
        <v>19</v>
      </c>
      <c r="D4" t="s">
        <v>20</v>
      </c>
      <c r="E4" s="2">
        <v>18331</v>
      </c>
      <c r="F4" t="s">
        <v>16</v>
      </c>
      <c r="G4" t="s">
        <v>13</v>
      </c>
      <c r="H4" s="2">
        <v>36142</v>
      </c>
      <c r="I4" s="2">
        <v>17811</v>
      </c>
      <c r="J4" t="str">
        <f>TEXT(tblExpenses[[#This Row],[Date]],"mmm")</f>
        <v>Feb</v>
      </c>
    </row>
    <row r="5" spans="1:10" x14ac:dyDescent="0.3">
      <c r="A5" t="s">
        <v>21</v>
      </c>
      <c r="B5" s="1">
        <v>45770</v>
      </c>
      <c r="C5" t="s">
        <v>22</v>
      </c>
      <c r="D5" t="s">
        <v>15</v>
      </c>
      <c r="E5" s="2">
        <v>197700</v>
      </c>
      <c r="F5" t="s">
        <v>23</v>
      </c>
      <c r="G5" t="s">
        <v>13</v>
      </c>
      <c r="H5" s="2">
        <v>317674</v>
      </c>
      <c r="I5" s="2">
        <v>119974</v>
      </c>
      <c r="J5" t="str">
        <f>TEXT(tblExpenses[[#This Row],[Date]],"mmm")</f>
        <v>Apr</v>
      </c>
    </row>
    <row r="6" spans="1:10" x14ac:dyDescent="0.3">
      <c r="A6" t="s">
        <v>24</v>
      </c>
      <c r="B6" s="1">
        <v>46015</v>
      </c>
      <c r="C6" t="s">
        <v>22</v>
      </c>
      <c r="D6" t="s">
        <v>11</v>
      </c>
      <c r="E6" s="2">
        <v>208916</v>
      </c>
      <c r="F6" t="s">
        <v>23</v>
      </c>
      <c r="G6" t="s">
        <v>13</v>
      </c>
      <c r="H6" s="2">
        <v>260769</v>
      </c>
      <c r="I6" s="2">
        <v>51853</v>
      </c>
      <c r="J6" t="str">
        <f>TEXT(tblExpenses[[#This Row],[Date]],"mmm")</f>
        <v>Dec</v>
      </c>
    </row>
    <row r="7" spans="1:10" x14ac:dyDescent="0.3">
      <c r="A7" t="s">
        <v>25</v>
      </c>
      <c r="B7" s="1">
        <v>45710</v>
      </c>
      <c r="C7" t="s">
        <v>26</v>
      </c>
      <c r="D7" t="s">
        <v>27</v>
      </c>
      <c r="E7" s="2">
        <v>66443</v>
      </c>
      <c r="F7" t="s">
        <v>16</v>
      </c>
      <c r="G7" t="s">
        <v>17</v>
      </c>
      <c r="H7" s="2">
        <v>164679</v>
      </c>
      <c r="I7" s="2">
        <v>98236</v>
      </c>
      <c r="J7" t="str">
        <f>TEXT(tblExpenses[[#This Row],[Date]],"mmm")</f>
        <v>Feb</v>
      </c>
    </row>
    <row r="8" spans="1:10" x14ac:dyDescent="0.3">
      <c r="A8" t="s">
        <v>28</v>
      </c>
      <c r="B8" s="1">
        <v>45967</v>
      </c>
      <c r="C8" t="s">
        <v>29</v>
      </c>
      <c r="D8" t="s">
        <v>30</v>
      </c>
      <c r="E8" s="2">
        <v>232165</v>
      </c>
      <c r="F8" t="s">
        <v>31</v>
      </c>
      <c r="G8" t="s">
        <v>13</v>
      </c>
      <c r="H8" s="2">
        <v>332330</v>
      </c>
      <c r="I8" s="2">
        <v>100165</v>
      </c>
      <c r="J8" t="str">
        <f>TEXT(tblExpenses[[#This Row],[Date]],"mmm")</f>
        <v>Nov</v>
      </c>
    </row>
    <row r="9" spans="1:10" x14ac:dyDescent="0.3">
      <c r="A9" t="s">
        <v>32</v>
      </c>
      <c r="B9" s="1">
        <v>45940</v>
      </c>
      <c r="C9" t="s">
        <v>29</v>
      </c>
      <c r="D9" t="s">
        <v>33</v>
      </c>
      <c r="E9" s="2">
        <v>109230</v>
      </c>
      <c r="F9" t="s">
        <v>23</v>
      </c>
      <c r="G9" t="s">
        <v>13</v>
      </c>
      <c r="H9" s="2">
        <v>139886</v>
      </c>
      <c r="I9" s="2">
        <v>30656</v>
      </c>
      <c r="J9" t="str">
        <f>TEXT(tblExpenses[[#This Row],[Date]],"mmm")</f>
        <v>Oct</v>
      </c>
    </row>
    <row r="10" spans="1:10" x14ac:dyDescent="0.3">
      <c r="A10" t="s">
        <v>34</v>
      </c>
      <c r="B10" s="1">
        <v>45681</v>
      </c>
      <c r="C10" t="s">
        <v>10</v>
      </c>
      <c r="D10" t="s">
        <v>20</v>
      </c>
      <c r="E10" s="2">
        <v>194699</v>
      </c>
      <c r="F10" t="s">
        <v>23</v>
      </c>
      <c r="G10" t="s">
        <v>13</v>
      </c>
      <c r="H10" s="2">
        <v>222932</v>
      </c>
      <c r="I10" s="2">
        <v>28233</v>
      </c>
      <c r="J10" t="str">
        <f>TEXT(tblExpenses[[#This Row],[Date]],"mmm")</f>
        <v>Jan</v>
      </c>
    </row>
    <row r="11" spans="1:10" x14ac:dyDescent="0.3">
      <c r="A11" t="s">
        <v>35</v>
      </c>
      <c r="B11" s="1">
        <v>45709</v>
      </c>
      <c r="C11" t="s">
        <v>22</v>
      </c>
      <c r="D11" t="s">
        <v>11</v>
      </c>
      <c r="E11" s="2">
        <v>234216</v>
      </c>
      <c r="F11" t="s">
        <v>31</v>
      </c>
      <c r="G11" t="s">
        <v>17</v>
      </c>
      <c r="H11" s="2">
        <v>305240</v>
      </c>
      <c r="I11" s="2">
        <v>71024</v>
      </c>
      <c r="J11" t="str">
        <f>TEXT(tblExpenses[[#This Row],[Date]],"mmm")</f>
        <v>Feb</v>
      </c>
    </row>
    <row r="12" spans="1:10" x14ac:dyDescent="0.3">
      <c r="A12" t="s">
        <v>36</v>
      </c>
      <c r="B12" s="1">
        <v>45839</v>
      </c>
      <c r="C12" t="s">
        <v>19</v>
      </c>
      <c r="D12" t="s">
        <v>33</v>
      </c>
      <c r="E12" s="2">
        <v>52638</v>
      </c>
      <c r="F12" t="s">
        <v>23</v>
      </c>
      <c r="G12" t="s">
        <v>13</v>
      </c>
      <c r="H12" s="2">
        <v>159678</v>
      </c>
      <c r="I12" s="2">
        <v>107040</v>
      </c>
      <c r="J12" t="str">
        <f>TEXT(tblExpenses[[#This Row],[Date]],"mmm")</f>
        <v>Jul</v>
      </c>
    </row>
    <row r="13" spans="1:10" x14ac:dyDescent="0.3">
      <c r="A13" t="s">
        <v>37</v>
      </c>
      <c r="B13" s="1">
        <v>45931</v>
      </c>
      <c r="C13" t="s">
        <v>10</v>
      </c>
      <c r="D13" t="s">
        <v>20</v>
      </c>
      <c r="E13" s="2">
        <v>169680</v>
      </c>
      <c r="F13" t="s">
        <v>12</v>
      </c>
      <c r="G13" t="s">
        <v>17</v>
      </c>
      <c r="H13" s="2">
        <v>224542</v>
      </c>
      <c r="I13" s="2">
        <v>54862</v>
      </c>
      <c r="J13" t="str">
        <f>TEXT(tblExpenses[[#This Row],[Date]],"mmm")</f>
        <v>Oct</v>
      </c>
    </row>
    <row r="14" spans="1:10" x14ac:dyDescent="0.3">
      <c r="A14" t="s">
        <v>38</v>
      </c>
      <c r="B14" s="1">
        <v>45985</v>
      </c>
      <c r="C14" t="s">
        <v>10</v>
      </c>
      <c r="D14" t="s">
        <v>15</v>
      </c>
      <c r="E14" s="2">
        <v>109471</v>
      </c>
      <c r="F14" t="s">
        <v>12</v>
      </c>
      <c r="G14" t="s">
        <v>17</v>
      </c>
      <c r="H14" s="2">
        <v>190236</v>
      </c>
      <c r="I14" s="2">
        <v>80765</v>
      </c>
      <c r="J14" t="str">
        <f>TEXT(tblExpenses[[#This Row],[Date]],"mmm")</f>
        <v>Nov</v>
      </c>
    </row>
    <row r="15" spans="1:10" x14ac:dyDescent="0.3">
      <c r="A15" t="s">
        <v>39</v>
      </c>
      <c r="B15" s="1">
        <v>45775</v>
      </c>
      <c r="C15" t="s">
        <v>26</v>
      </c>
      <c r="D15" t="s">
        <v>11</v>
      </c>
      <c r="E15" s="2">
        <v>230948</v>
      </c>
      <c r="F15" t="s">
        <v>31</v>
      </c>
      <c r="G15" t="s">
        <v>17</v>
      </c>
      <c r="H15" s="2">
        <v>255611</v>
      </c>
      <c r="I15" s="2">
        <v>24663</v>
      </c>
      <c r="J15" t="str">
        <f>TEXT(tblExpenses[[#This Row],[Date]],"mmm")</f>
        <v>Apr</v>
      </c>
    </row>
    <row r="16" spans="1:10" x14ac:dyDescent="0.3">
      <c r="A16" t="s">
        <v>40</v>
      </c>
      <c r="B16" s="1">
        <v>45948</v>
      </c>
      <c r="C16" t="s">
        <v>10</v>
      </c>
      <c r="D16" t="s">
        <v>11</v>
      </c>
      <c r="E16" s="2">
        <v>27350</v>
      </c>
      <c r="F16" t="s">
        <v>12</v>
      </c>
      <c r="G16" t="s">
        <v>17</v>
      </c>
      <c r="H16" s="2">
        <v>92657</v>
      </c>
      <c r="I16" s="2">
        <v>65307</v>
      </c>
      <c r="J16" t="str">
        <f>TEXT(tblExpenses[[#This Row],[Date]],"mmm")</f>
        <v>Oct</v>
      </c>
    </row>
    <row r="17" spans="1:10" x14ac:dyDescent="0.3">
      <c r="A17" t="s">
        <v>41</v>
      </c>
      <c r="B17" s="1">
        <v>45731</v>
      </c>
      <c r="C17" t="s">
        <v>29</v>
      </c>
      <c r="D17" t="s">
        <v>20</v>
      </c>
      <c r="E17" s="2">
        <v>113712</v>
      </c>
      <c r="F17" t="s">
        <v>12</v>
      </c>
      <c r="G17" t="s">
        <v>17</v>
      </c>
      <c r="H17" s="2">
        <v>243997</v>
      </c>
      <c r="I17" s="2">
        <v>130285</v>
      </c>
      <c r="J17" t="str">
        <f>TEXT(tblExpenses[[#This Row],[Date]],"mmm")</f>
        <v>Mar</v>
      </c>
    </row>
    <row r="18" spans="1:10" x14ac:dyDescent="0.3">
      <c r="A18" t="s">
        <v>42</v>
      </c>
      <c r="B18" s="1">
        <v>45956</v>
      </c>
      <c r="C18" t="s">
        <v>22</v>
      </c>
      <c r="D18" t="s">
        <v>11</v>
      </c>
      <c r="E18" s="2">
        <v>205825</v>
      </c>
      <c r="F18" t="s">
        <v>12</v>
      </c>
      <c r="G18" t="s">
        <v>13</v>
      </c>
      <c r="H18" s="2">
        <v>328136</v>
      </c>
      <c r="I18" s="2">
        <v>122311</v>
      </c>
      <c r="J18" t="str">
        <f>TEXT(tblExpenses[[#This Row],[Date]],"mmm")</f>
        <v>Oct</v>
      </c>
    </row>
    <row r="19" spans="1:10" x14ac:dyDescent="0.3">
      <c r="A19" t="s">
        <v>43</v>
      </c>
      <c r="B19" s="1">
        <v>45704</v>
      </c>
      <c r="C19" t="s">
        <v>26</v>
      </c>
      <c r="D19" t="s">
        <v>30</v>
      </c>
      <c r="E19" s="2">
        <v>143569</v>
      </c>
      <c r="F19" t="s">
        <v>12</v>
      </c>
      <c r="G19" t="s">
        <v>13</v>
      </c>
      <c r="H19" s="2">
        <v>282941</v>
      </c>
      <c r="I19" s="2">
        <v>139372</v>
      </c>
      <c r="J19" t="str">
        <f>TEXT(tblExpenses[[#This Row],[Date]],"mmm")</f>
        <v>Feb</v>
      </c>
    </row>
    <row r="20" spans="1:10" x14ac:dyDescent="0.3">
      <c r="A20" t="s">
        <v>44</v>
      </c>
      <c r="B20" s="1">
        <v>45963</v>
      </c>
      <c r="C20" t="s">
        <v>26</v>
      </c>
      <c r="D20" t="s">
        <v>27</v>
      </c>
      <c r="E20" s="2">
        <v>217638</v>
      </c>
      <c r="F20" t="s">
        <v>31</v>
      </c>
      <c r="G20" t="s">
        <v>17</v>
      </c>
      <c r="H20" s="2">
        <v>338304</v>
      </c>
      <c r="I20" s="2">
        <v>120666</v>
      </c>
      <c r="J20" t="str">
        <f>TEXT(tblExpenses[[#This Row],[Date]],"mmm")</f>
        <v>Nov</v>
      </c>
    </row>
    <row r="21" spans="1:10" x14ac:dyDescent="0.3">
      <c r="A21" t="s">
        <v>45</v>
      </c>
      <c r="B21" s="1">
        <v>45941</v>
      </c>
      <c r="C21" t="s">
        <v>26</v>
      </c>
      <c r="D21" t="s">
        <v>33</v>
      </c>
      <c r="E21" s="2">
        <v>148704</v>
      </c>
      <c r="F21" t="s">
        <v>16</v>
      </c>
      <c r="G21" t="s">
        <v>17</v>
      </c>
      <c r="H21" s="2">
        <v>224610</v>
      </c>
      <c r="I21" s="2">
        <v>75906</v>
      </c>
      <c r="J21" t="str">
        <f>TEXT(tblExpenses[[#This Row],[Date]],"mmm")</f>
        <v>Oct</v>
      </c>
    </row>
    <row r="22" spans="1:10" x14ac:dyDescent="0.3">
      <c r="A22" t="s">
        <v>46</v>
      </c>
      <c r="B22" s="1">
        <v>45715</v>
      </c>
      <c r="C22" t="s">
        <v>29</v>
      </c>
      <c r="D22" t="s">
        <v>27</v>
      </c>
      <c r="E22" s="2">
        <v>211483</v>
      </c>
      <c r="F22" t="s">
        <v>12</v>
      </c>
      <c r="G22" t="s">
        <v>17</v>
      </c>
      <c r="H22" s="2">
        <v>310657</v>
      </c>
      <c r="I22" s="2">
        <v>99174</v>
      </c>
      <c r="J22" t="str">
        <f>TEXT(tblExpenses[[#This Row],[Date]],"mmm")</f>
        <v>Feb</v>
      </c>
    </row>
    <row r="23" spans="1:10" x14ac:dyDescent="0.3">
      <c r="A23" t="s">
        <v>47</v>
      </c>
      <c r="B23" s="1">
        <v>45914</v>
      </c>
      <c r="C23" t="s">
        <v>19</v>
      </c>
      <c r="D23" t="s">
        <v>15</v>
      </c>
      <c r="E23" s="2">
        <v>10850</v>
      </c>
      <c r="F23" t="s">
        <v>16</v>
      </c>
      <c r="G23" t="s">
        <v>17</v>
      </c>
      <c r="H23" s="2">
        <v>89895</v>
      </c>
      <c r="I23" s="2">
        <v>79045</v>
      </c>
      <c r="J23" t="str">
        <f>TEXT(tblExpenses[[#This Row],[Date]],"mmm")</f>
        <v>Sept</v>
      </c>
    </row>
    <row r="24" spans="1:10" x14ac:dyDescent="0.3">
      <c r="A24" t="s">
        <v>48</v>
      </c>
      <c r="B24" s="1">
        <v>45969</v>
      </c>
      <c r="C24" t="s">
        <v>19</v>
      </c>
      <c r="D24" t="s">
        <v>20</v>
      </c>
      <c r="E24" s="2">
        <v>230638</v>
      </c>
      <c r="F24" t="s">
        <v>23</v>
      </c>
      <c r="G24" t="s">
        <v>13</v>
      </c>
      <c r="H24" s="2">
        <v>373718</v>
      </c>
      <c r="I24" s="2">
        <v>143080</v>
      </c>
      <c r="J24" t="str">
        <f>TEXT(tblExpenses[[#This Row],[Date]],"mmm")</f>
        <v>Nov</v>
      </c>
    </row>
    <row r="25" spans="1:10" x14ac:dyDescent="0.3">
      <c r="A25" t="s">
        <v>49</v>
      </c>
      <c r="B25" s="1">
        <v>45658</v>
      </c>
      <c r="C25" t="s">
        <v>50</v>
      </c>
      <c r="D25" t="s">
        <v>11</v>
      </c>
      <c r="E25" s="2">
        <v>151394</v>
      </c>
      <c r="F25" t="s">
        <v>31</v>
      </c>
      <c r="G25" t="s">
        <v>13</v>
      </c>
      <c r="H25" s="2">
        <v>300423</v>
      </c>
      <c r="I25" s="2">
        <v>149029</v>
      </c>
      <c r="J25" t="str">
        <f>TEXT(tblExpenses[[#This Row],[Date]],"mmm")</f>
        <v>Jan</v>
      </c>
    </row>
    <row r="26" spans="1:10" x14ac:dyDescent="0.3">
      <c r="A26" t="s">
        <v>51</v>
      </c>
      <c r="B26" s="1">
        <v>45815</v>
      </c>
      <c r="C26" t="s">
        <v>19</v>
      </c>
      <c r="D26" t="s">
        <v>30</v>
      </c>
      <c r="E26" s="2">
        <v>39325</v>
      </c>
      <c r="F26" t="s">
        <v>12</v>
      </c>
      <c r="G26" t="s">
        <v>13</v>
      </c>
      <c r="H26" s="2">
        <v>144478</v>
      </c>
      <c r="I26" s="2">
        <v>105153</v>
      </c>
      <c r="J26" t="str">
        <f>TEXT(tblExpenses[[#This Row],[Date]],"mmm")</f>
        <v>Jun</v>
      </c>
    </row>
    <row r="27" spans="1:10" x14ac:dyDescent="0.3">
      <c r="A27" t="s">
        <v>52</v>
      </c>
      <c r="B27" s="1">
        <v>45693</v>
      </c>
      <c r="C27" t="s">
        <v>50</v>
      </c>
      <c r="D27" t="s">
        <v>20</v>
      </c>
      <c r="E27" s="2">
        <v>32453</v>
      </c>
      <c r="F27" t="s">
        <v>12</v>
      </c>
      <c r="G27" t="s">
        <v>17</v>
      </c>
      <c r="H27" s="2">
        <v>169852</v>
      </c>
      <c r="I27" s="2">
        <v>137399</v>
      </c>
      <c r="J27" t="str">
        <f>TEXT(tblExpenses[[#This Row],[Date]],"mmm")</f>
        <v>Feb</v>
      </c>
    </row>
    <row r="28" spans="1:10" x14ac:dyDescent="0.3">
      <c r="A28" t="s">
        <v>53</v>
      </c>
      <c r="B28" s="1">
        <v>45793</v>
      </c>
      <c r="C28" t="s">
        <v>50</v>
      </c>
      <c r="D28" t="s">
        <v>15</v>
      </c>
      <c r="E28" s="2">
        <v>154127</v>
      </c>
      <c r="F28" t="s">
        <v>31</v>
      </c>
      <c r="G28" t="s">
        <v>13</v>
      </c>
      <c r="H28" s="2">
        <v>207414</v>
      </c>
      <c r="I28" s="2">
        <v>53287</v>
      </c>
      <c r="J28" t="str">
        <f>TEXT(tblExpenses[[#This Row],[Date]],"mmm")</f>
        <v>May</v>
      </c>
    </row>
    <row r="29" spans="1:10" x14ac:dyDescent="0.3">
      <c r="A29" t="s">
        <v>54</v>
      </c>
      <c r="B29" s="1">
        <v>45817</v>
      </c>
      <c r="C29" t="s">
        <v>22</v>
      </c>
      <c r="D29" t="s">
        <v>33</v>
      </c>
      <c r="E29" s="2">
        <v>151373</v>
      </c>
      <c r="F29" t="s">
        <v>23</v>
      </c>
      <c r="G29" t="s">
        <v>17</v>
      </c>
      <c r="H29" s="2">
        <v>214103</v>
      </c>
      <c r="I29" s="2">
        <v>62730</v>
      </c>
      <c r="J29" t="str">
        <f>TEXT(tblExpenses[[#This Row],[Date]],"mmm")</f>
        <v>Jun</v>
      </c>
    </row>
    <row r="30" spans="1:10" x14ac:dyDescent="0.3">
      <c r="A30" t="s">
        <v>55</v>
      </c>
      <c r="B30" s="1">
        <v>45889</v>
      </c>
      <c r="C30" t="s">
        <v>26</v>
      </c>
      <c r="D30" t="s">
        <v>20</v>
      </c>
      <c r="E30" s="2">
        <v>245828</v>
      </c>
      <c r="F30" t="s">
        <v>12</v>
      </c>
      <c r="G30" t="s">
        <v>13</v>
      </c>
      <c r="H30" s="2">
        <v>391507</v>
      </c>
      <c r="I30" s="2">
        <v>145679</v>
      </c>
      <c r="J30" t="str">
        <f>TEXT(tblExpenses[[#This Row],[Date]],"mmm")</f>
        <v>Aug</v>
      </c>
    </row>
    <row r="31" spans="1:10" x14ac:dyDescent="0.3">
      <c r="A31" t="s">
        <v>56</v>
      </c>
      <c r="B31" s="1">
        <v>45959</v>
      </c>
      <c r="C31" t="s">
        <v>50</v>
      </c>
      <c r="D31" t="s">
        <v>20</v>
      </c>
      <c r="E31" s="2">
        <v>98627</v>
      </c>
      <c r="F31" t="s">
        <v>12</v>
      </c>
      <c r="G31" t="s">
        <v>13</v>
      </c>
      <c r="H31" s="2">
        <v>114141</v>
      </c>
      <c r="I31" s="2">
        <v>15514</v>
      </c>
      <c r="J31" t="str">
        <f>TEXT(tblExpenses[[#This Row],[Date]],"mmm")</f>
        <v>Oct</v>
      </c>
    </row>
    <row r="32" spans="1:10" x14ac:dyDescent="0.3">
      <c r="A32" t="s">
        <v>57</v>
      </c>
      <c r="B32" s="1">
        <v>45775</v>
      </c>
      <c r="C32" t="s">
        <v>26</v>
      </c>
      <c r="D32" t="s">
        <v>30</v>
      </c>
      <c r="E32" s="2">
        <v>28610</v>
      </c>
      <c r="F32" t="s">
        <v>23</v>
      </c>
      <c r="G32" t="s">
        <v>13</v>
      </c>
      <c r="H32" s="2">
        <v>54043</v>
      </c>
      <c r="I32" s="2">
        <v>25433</v>
      </c>
      <c r="J32" t="str">
        <f>TEXT(tblExpenses[[#This Row],[Date]],"mmm")</f>
        <v>Apr</v>
      </c>
    </row>
    <row r="33" spans="1:10" x14ac:dyDescent="0.3">
      <c r="A33" t="s">
        <v>58</v>
      </c>
      <c r="B33" s="1">
        <v>45800</v>
      </c>
      <c r="C33" t="s">
        <v>10</v>
      </c>
      <c r="D33" t="s">
        <v>27</v>
      </c>
      <c r="E33" s="2">
        <v>144782</v>
      </c>
      <c r="F33" t="s">
        <v>12</v>
      </c>
      <c r="G33" t="s">
        <v>13</v>
      </c>
      <c r="H33" s="2">
        <v>217173</v>
      </c>
      <c r="I33" s="2">
        <v>72391</v>
      </c>
      <c r="J33" t="str">
        <f>TEXT(tblExpenses[[#This Row],[Date]],"mmm")</f>
        <v>May</v>
      </c>
    </row>
    <row r="34" spans="1:10" x14ac:dyDescent="0.3">
      <c r="A34" t="s">
        <v>59</v>
      </c>
      <c r="B34" s="1">
        <v>45782</v>
      </c>
      <c r="C34" t="s">
        <v>22</v>
      </c>
      <c r="D34" t="s">
        <v>27</v>
      </c>
      <c r="E34" s="2">
        <v>199622</v>
      </c>
      <c r="F34" t="s">
        <v>12</v>
      </c>
      <c r="G34" t="s">
        <v>13</v>
      </c>
      <c r="H34" s="2">
        <v>333529</v>
      </c>
      <c r="I34" s="2">
        <v>133907</v>
      </c>
      <c r="J34" t="str">
        <f>TEXT(tblExpenses[[#This Row],[Date]],"mmm")</f>
        <v>May</v>
      </c>
    </row>
    <row r="35" spans="1:10" x14ac:dyDescent="0.3">
      <c r="A35" t="s">
        <v>60</v>
      </c>
      <c r="B35" s="1">
        <v>45839</v>
      </c>
      <c r="C35" t="s">
        <v>22</v>
      </c>
      <c r="D35" t="s">
        <v>27</v>
      </c>
      <c r="E35" s="2">
        <v>35409</v>
      </c>
      <c r="F35" t="s">
        <v>31</v>
      </c>
      <c r="G35" t="s">
        <v>13</v>
      </c>
      <c r="H35" s="2">
        <v>158406</v>
      </c>
      <c r="I35" s="2">
        <v>122997</v>
      </c>
      <c r="J35" t="str">
        <f>TEXT(tblExpenses[[#This Row],[Date]],"mmm")</f>
        <v>Jul</v>
      </c>
    </row>
    <row r="36" spans="1:10" x14ac:dyDescent="0.3">
      <c r="A36" t="s">
        <v>61</v>
      </c>
      <c r="B36" s="1">
        <v>45689</v>
      </c>
      <c r="C36" t="s">
        <v>22</v>
      </c>
      <c r="D36" t="s">
        <v>33</v>
      </c>
      <c r="E36" s="2">
        <v>186518</v>
      </c>
      <c r="F36" t="s">
        <v>23</v>
      </c>
      <c r="G36" t="s">
        <v>13</v>
      </c>
      <c r="H36" s="2">
        <v>222317</v>
      </c>
      <c r="I36" s="2">
        <v>35799</v>
      </c>
      <c r="J36" t="str">
        <f>TEXT(tblExpenses[[#This Row],[Date]],"mmm")</f>
        <v>Feb</v>
      </c>
    </row>
    <row r="37" spans="1:10" x14ac:dyDescent="0.3">
      <c r="A37" t="s">
        <v>62</v>
      </c>
      <c r="B37" s="1">
        <v>45755</v>
      </c>
      <c r="C37" t="s">
        <v>50</v>
      </c>
      <c r="D37" t="s">
        <v>27</v>
      </c>
      <c r="E37" s="2">
        <v>75183</v>
      </c>
      <c r="F37" t="s">
        <v>12</v>
      </c>
      <c r="G37" t="s">
        <v>17</v>
      </c>
      <c r="H37" s="2">
        <v>135407</v>
      </c>
      <c r="I37" s="2">
        <v>60224</v>
      </c>
      <c r="J37" t="str">
        <f>TEXT(tblExpenses[[#This Row],[Date]],"mmm")</f>
        <v>Apr</v>
      </c>
    </row>
    <row r="38" spans="1:10" x14ac:dyDescent="0.3">
      <c r="A38" t="s">
        <v>63</v>
      </c>
      <c r="B38" s="1">
        <v>45894</v>
      </c>
      <c r="C38" t="s">
        <v>19</v>
      </c>
      <c r="D38" t="s">
        <v>30</v>
      </c>
      <c r="E38" s="2">
        <v>58100</v>
      </c>
      <c r="F38" t="s">
        <v>31</v>
      </c>
      <c r="G38" t="s">
        <v>13</v>
      </c>
      <c r="H38" s="2">
        <v>141118</v>
      </c>
      <c r="I38" s="2">
        <v>83018</v>
      </c>
      <c r="J38" t="str">
        <f>TEXT(tblExpenses[[#This Row],[Date]],"mmm")</f>
        <v>Aug</v>
      </c>
    </row>
    <row r="39" spans="1:10" x14ac:dyDescent="0.3">
      <c r="A39" t="s">
        <v>64</v>
      </c>
      <c r="B39" s="1">
        <v>45705</v>
      </c>
      <c r="C39" t="s">
        <v>19</v>
      </c>
      <c r="D39" t="s">
        <v>20</v>
      </c>
      <c r="E39" s="2">
        <v>23261</v>
      </c>
      <c r="F39" t="s">
        <v>31</v>
      </c>
      <c r="G39" t="s">
        <v>17</v>
      </c>
      <c r="H39" s="2">
        <v>37129</v>
      </c>
      <c r="I39" s="2">
        <v>13868</v>
      </c>
      <c r="J39" t="str">
        <f>TEXT(tblExpenses[[#This Row],[Date]],"mmm")</f>
        <v>Feb</v>
      </c>
    </row>
    <row r="40" spans="1:10" x14ac:dyDescent="0.3">
      <c r="A40" t="s">
        <v>65</v>
      </c>
      <c r="B40" s="1">
        <v>45863</v>
      </c>
      <c r="C40" t="s">
        <v>26</v>
      </c>
      <c r="D40" t="s">
        <v>20</v>
      </c>
      <c r="E40" s="2">
        <v>136185</v>
      </c>
      <c r="F40" t="s">
        <v>31</v>
      </c>
      <c r="G40" t="s">
        <v>13</v>
      </c>
      <c r="H40" s="2">
        <v>202217</v>
      </c>
      <c r="I40" s="2">
        <v>66032</v>
      </c>
      <c r="J40" t="str">
        <f>TEXT(tblExpenses[[#This Row],[Date]],"mmm")</f>
        <v>Jul</v>
      </c>
    </row>
    <row r="41" spans="1:10" x14ac:dyDescent="0.3">
      <c r="A41" t="s">
        <v>66</v>
      </c>
      <c r="B41" s="1">
        <v>45890</v>
      </c>
      <c r="C41" t="s">
        <v>29</v>
      </c>
      <c r="D41" t="s">
        <v>27</v>
      </c>
      <c r="E41" s="2">
        <v>112346</v>
      </c>
      <c r="F41" t="s">
        <v>31</v>
      </c>
      <c r="G41" t="s">
        <v>13</v>
      </c>
      <c r="H41" s="2">
        <v>191867</v>
      </c>
      <c r="I41" s="2">
        <v>79521</v>
      </c>
      <c r="J41" t="str">
        <f>TEXT(tblExpenses[[#This Row],[Date]],"mmm")</f>
        <v>Aug</v>
      </c>
    </row>
    <row r="42" spans="1:10" x14ac:dyDescent="0.3">
      <c r="A42" t="s">
        <v>67</v>
      </c>
      <c r="B42" s="1">
        <v>45769</v>
      </c>
      <c r="C42" t="s">
        <v>26</v>
      </c>
      <c r="D42" t="s">
        <v>15</v>
      </c>
      <c r="E42" s="2">
        <v>59780</v>
      </c>
      <c r="F42" t="s">
        <v>16</v>
      </c>
      <c r="G42" t="s">
        <v>17</v>
      </c>
      <c r="H42" s="2">
        <v>147560</v>
      </c>
      <c r="I42" s="2">
        <v>87780</v>
      </c>
      <c r="J42" t="str">
        <f>TEXT(tblExpenses[[#This Row],[Date]],"mmm")</f>
        <v>Apr</v>
      </c>
    </row>
    <row r="43" spans="1:10" x14ac:dyDescent="0.3">
      <c r="A43" t="s">
        <v>68</v>
      </c>
      <c r="B43" s="1">
        <v>45957</v>
      </c>
      <c r="C43" t="s">
        <v>22</v>
      </c>
      <c r="D43" t="s">
        <v>15</v>
      </c>
      <c r="E43" s="2">
        <v>24985</v>
      </c>
      <c r="F43" t="s">
        <v>12</v>
      </c>
      <c r="G43" t="s">
        <v>13</v>
      </c>
      <c r="H43" s="2">
        <v>48129</v>
      </c>
      <c r="I43" s="2">
        <v>23144</v>
      </c>
      <c r="J43" t="str">
        <f>TEXT(tblExpenses[[#This Row],[Date]],"mmm")</f>
        <v>Oct</v>
      </c>
    </row>
    <row r="44" spans="1:10" x14ac:dyDescent="0.3">
      <c r="A44" t="s">
        <v>69</v>
      </c>
      <c r="B44" s="1">
        <v>45753</v>
      </c>
      <c r="C44" t="s">
        <v>26</v>
      </c>
      <c r="D44" t="s">
        <v>15</v>
      </c>
      <c r="E44" s="2">
        <v>143124</v>
      </c>
      <c r="F44" t="s">
        <v>16</v>
      </c>
      <c r="G44" t="s">
        <v>13</v>
      </c>
      <c r="H44" s="2">
        <v>174124</v>
      </c>
      <c r="I44" s="2">
        <v>31000</v>
      </c>
      <c r="J44" t="str">
        <f>TEXT(tblExpenses[[#This Row],[Date]],"mmm")</f>
        <v>Apr</v>
      </c>
    </row>
    <row r="45" spans="1:10" x14ac:dyDescent="0.3">
      <c r="A45" t="s">
        <v>70</v>
      </c>
      <c r="B45" s="1">
        <v>45949</v>
      </c>
      <c r="C45" t="s">
        <v>19</v>
      </c>
      <c r="D45" t="s">
        <v>15</v>
      </c>
      <c r="E45" s="2">
        <v>115847</v>
      </c>
      <c r="F45" t="s">
        <v>16</v>
      </c>
      <c r="G45" t="s">
        <v>13</v>
      </c>
      <c r="H45" s="2">
        <v>157274</v>
      </c>
      <c r="I45" s="2">
        <v>41427</v>
      </c>
      <c r="J45" t="str">
        <f>TEXT(tblExpenses[[#This Row],[Date]],"mmm")</f>
        <v>Oct</v>
      </c>
    </row>
    <row r="46" spans="1:10" x14ac:dyDescent="0.3">
      <c r="A46" t="s">
        <v>71</v>
      </c>
      <c r="B46" s="1">
        <v>45819</v>
      </c>
      <c r="C46" t="s">
        <v>29</v>
      </c>
      <c r="D46" t="s">
        <v>20</v>
      </c>
      <c r="E46" s="2">
        <v>119897</v>
      </c>
      <c r="F46" t="s">
        <v>23</v>
      </c>
      <c r="G46" t="s">
        <v>13</v>
      </c>
      <c r="H46" s="2">
        <v>266941</v>
      </c>
      <c r="I46" s="2">
        <v>147044</v>
      </c>
      <c r="J46" t="str">
        <f>TEXT(tblExpenses[[#This Row],[Date]],"mmm")</f>
        <v>Jun</v>
      </c>
    </row>
    <row r="47" spans="1:10" x14ac:dyDescent="0.3">
      <c r="A47" t="s">
        <v>72</v>
      </c>
      <c r="B47" s="1">
        <v>45725</v>
      </c>
      <c r="C47" t="s">
        <v>10</v>
      </c>
      <c r="D47" t="s">
        <v>33</v>
      </c>
      <c r="E47" s="2">
        <v>79629</v>
      </c>
      <c r="F47" t="s">
        <v>23</v>
      </c>
      <c r="G47" t="s">
        <v>17</v>
      </c>
      <c r="H47" s="2">
        <v>193381</v>
      </c>
      <c r="I47" s="2">
        <v>113752</v>
      </c>
      <c r="J47" t="str">
        <f>TEXT(tblExpenses[[#This Row],[Date]],"mmm")</f>
        <v>Mar</v>
      </c>
    </row>
    <row r="48" spans="1:10" x14ac:dyDescent="0.3">
      <c r="A48" t="s">
        <v>73</v>
      </c>
      <c r="B48" s="1">
        <v>45662</v>
      </c>
      <c r="C48" t="s">
        <v>22</v>
      </c>
      <c r="D48" t="s">
        <v>15</v>
      </c>
      <c r="E48" s="2">
        <v>92883</v>
      </c>
      <c r="F48" t="s">
        <v>16</v>
      </c>
      <c r="G48" t="s">
        <v>13</v>
      </c>
      <c r="H48" s="2">
        <v>121899</v>
      </c>
      <c r="I48" s="2">
        <v>29016</v>
      </c>
      <c r="J48" t="str">
        <f>TEXT(tblExpenses[[#This Row],[Date]],"mmm")</f>
        <v>Jan</v>
      </c>
    </row>
    <row r="49" spans="1:10" x14ac:dyDescent="0.3">
      <c r="A49" t="s">
        <v>74</v>
      </c>
      <c r="B49" s="1">
        <v>45917</v>
      </c>
      <c r="C49" t="s">
        <v>29</v>
      </c>
      <c r="D49" t="s">
        <v>20</v>
      </c>
      <c r="E49" s="2">
        <v>150937</v>
      </c>
      <c r="F49" t="s">
        <v>23</v>
      </c>
      <c r="G49" t="s">
        <v>13</v>
      </c>
      <c r="H49" s="2">
        <v>216814</v>
      </c>
      <c r="I49" s="2">
        <v>65877</v>
      </c>
      <c r="J49" t="str">
        <f>TEXT(tblExpenses[[#This Row],[Date]],"mmm")</f>
        <v>Sept</v>
      </c>
    </row>
    <row r="50" spans="1:10" x14ac:dyDescent="0.3">
      <c r="A50" t="s">
        <v>75</v>
      </c>
      <c r="B50" s="1">
        <v>45847</v>
      </c>
      <c r="C50" t="s">
        <v>29</v>
      </c>
      <c r="D50" t="s">
        <v>20</v>
      </c>
      <c r="E50" s="2">
        <v>240495</v>
      </c>
      <c r="F50" t="s">
        <v>31</v>
      </c>
      <c r="G50" t="s">
        <v>17</v>
      </c>
      <c r="H50" s="2">
        <v>314532</v>
      </c>
      <c r="I50" s="2">
        <v>74037</v>
      </c>
      <c r="J50" t="str">
        <f>TEXT(tblExpenses[[#This Row],[Date]],"mmm")</f>
        <v>Jul</v>
      </c>
    </row>
    <row r="51" spans="1:10" x14ac:dyDescent="0.3">
      <c r="A51" t="s">
        <v>76</v>
      </c>
      <c r="B51" s="1">
        <v>45662</v>
      </c>
      <c r="C51" t="s">
        <v>10</v>
      </c>
      <c r="D51" t="s">
        <v>15</v>
      </c>
      <c r="E51" s="2">
        <v>170347</v>
      </c>
      <c r="F51" t="s">
        <v>23</v>
      </c>
      <c r="G51" t="s">
        <v>13</v>
      </c>
      <c r="H51" s="2">
        <v>319005</v>
      </c>
      <c r="I51" s="2">
        <v>148658</v>
      </c>
      <c r="J51" t="str">
        <f>TEXT(tblExpenses[[#This Row],[Date]],"mmm")</f>
        <v>Jan</v>
      </c>
    </row>
    <row r="52" spans="1:10" x14ac:dyDescent="0.3">
      <c r="A52" t="s">
        <v>77</v>
      </c>
      <c r="B52" s="1">
        <v>45793</v>
      </c>
      <c r="C52" t="s">
        <v>26</v>
      </c>
      <c r="D52" t="s">
        <v>30</v>
      </c>
      <c r="E52" s="2">
        <v>240195</v>
      </c>
      <c r="F52" t="s">
        <v>12</v>
      </c>
      <c r="G52" t="s">
        <v>17</v>
      </c>
      <c r="H52" s="2">
        <v>285398</v>
      </c>
      <c r="I52" s="2">
        <v>45203</v>
      </c>
      <c r="J52" t="str">
        <f>TEXT(tblExpenses[[#This Row],[Date]],"mmm")</f>
        <v>May</v>
      </c>
    </row>
    <row r="53" spans="1:10" x14ac:dyDescent="0.3">
      <c r="A53" t="s">
        <v>78</v>
      </c>
      <c r="B53" s="1">
        <v>45833</v>
      </c>
      <c r="C53" t="s">
        <v>19</v>
      </c>
      <c r="D53" t="s">
        <v>33</v>
      </c>
      <c r="E53" s="2">
        <v>83860</v>
      </c>
      <c r="F53" t="s">
        <v>23</v>
      </c>
      <c r="G53" t="s">
        <v>17</v>
      </c>
      <c r="H53" s="2">
        <v>149075</v>
      </c>
      <c r="I53" s="2">
        <v>65215</v>
      </c>
      <c r="J53" t="str">
        <f>TEXT(tblExpenses[[#This Row],[Date]],"mmm")</f>
        <v>Jun</v>
      </c>
    </row>
    <row r="54" spans="1:10" x14ac:dyDescent="0.3">
      <c r="A54" t="s">
        <v>79</v>
      </c>
      <c r="B54" s="1">
        <v>45705</v>
      </c>
      <c r="C54" t="s">
        <v>10</v>
      </c>
      <c r="D54" t="s">
        <v>27</v>
      </c>
      <c r="E54" s="2">
        <v>75829</v>
      </c>
      <c r="F54" t="s">
        <v>23</v>
      </c>
      <c r="G54" t="s">
        <v>13</v>
      </c>
      <c r="H54" s="2">
        <v>99145</v>
      </c>
      <c r="I54" s="2">
        <v>23316</v>
      </c>
      <c r="J54" t="str">
        <f>TEXT(tblExpenses[[#This Row],[Date]],"mmm")</f>
        <v>Feb</v>
      </c>
    </row>
    <row r="55" spans="1:10" x14ac:dyDescent="0.3">
      <c r="A55" t="s">
        <v>80</v>
      </c>
      <c r="B55" s="1">
        <v>45724</v>
      </c>
      <c r="C55" t="s">
        <v>10</v>
      </c>
      <c r="D55" t="s">
        <v>11</v>
      </c>
      <c r="E55" s="2">
        <v>10929</v>
      </c>
      <c r="F55" t="s">
        <v>12</v>
      </c>
      <c r="G55" t="s">
        <v>17</v>
      </c>
      <c r="H55" s="2">
        <v>108368</v>
      </c>
      <c r="I55" s="2">
        <v>97439</v>
      </c>
      <c r="J55" t="str">
        <f>TEXT(tblExpenses[[#This Row],[Date]],"mmm")</f>
        <v>Mar</v>
      </c>
    </row>
    <row r="56" spans="1:10" x14ac:dyDescent="0.3">
      <c r="A56" t="s">
        <v>81</v>
      </c>
      <c r="B56" s="1">
        <v>45945</v>
      </c>
      <c r="C56" t="s">
        <v>26</v>
      </c>
      <c r="D56" t="s">
        <v>30</v>
      </c>
      <c r="E56" s="2">
        <v>154619</v>
      </c>
      <c r="F56" t="s">
        <v>16</v>
      </c>
      <c r="G56" t="s">
        <v>13</v>
      </c>
      <c r="H56" s="2">
        <v>276734</v>
      </c>
      <c r="I56" s="2">
        <v>122115</v>
      </c>
      <c r="J56" t="str">
        <f>TEXT(tblExpenses[[#This Row],[Date]],"mmm")</f>
        <v>Oct</v>
      </c>
    </row>
    <row r="57" spans="1:10" x14ac:dyDescent="0.3">
      <c r="A57" t="s">
        <v>82</v>
      </c>
      <c r="B57" s="1">
        <v>45847</v>
      </c>
      <c r="C57" t="s">
        <v>50</v>
      </c>
      <c r="D57" t="s">
        <v>15</v>
      </c>
      <c r="E57" s="2">
        <v>153023</v>
      </c>
      <c r="F57" t="s">
        <v>12</v>
      </c>
      <c r="G57" t="s">
        <v>17</v>
      </c>
      <c r="H57" s="2">
        <v>172467</v>
      </c>
      <c r="I57" s="2">
        <v>19444</v>
      </c>
      <c r="J57" t="str">
        <f>TEXT(tblExpenses[[#This Row],[Date]],"mmm")</f>
        <v>Jul</v>
      </c>
    </row>
    <row r="58" spans="1:10" x14ac:dyDescent="0.3">
      <c r="A58" t="s">
        <v>83</v>
      </c>
      <c r="B58" s="1">
        <v>45815</v>
      </c>
      <c r="C58" t="s">
        <v>29</v>
      </c>
      <c r="D58" t="s">
        <v>30</v>
      </c>
      <c r="E58" s="2">
        <v>43409</v>
      </c>
      <c r="F58" t="s">
        <v>23</v>
      </c>
      <c r="G58" t="s">
        <v>13</v>
      </c>
      <c r="H58" s="2">
        <v>64374</v>
      </c>
      <c r="I58" s="2">
        <v>20965</v>
      </c>
      <c r="J58" t="str">
        <f>TEXT(tblExpenses[[#This Row],[Date]],"mmm")</f>
        <v>Jun</v>
      </c>
    </row>
    <row r="59" spans="1:10" x14ac:dyDescent="0.3">
      <c r="A59" t="s">
        <v>84</v>
      </c>
      <c r="B59" s="1">
        <v>45999</v>
      </c>
      <c r="C59" t="s">
        <v>26</v>
      </c>
      <c r="D59" t="s">
        <v>11</v>
      </c>
      <c r="E59" s="2">
        <v>188799</v>
      </c>
      <c r="F59" t="s">
        <v>31</v>
      </c>
      <c r="G59" t="s">
        <v>13</v>
      </c>
      <c r="H59" s="2">
        <v>264211</v>
      </c>
      <c r="I59" s="2">
        <v>75412</v>
      </c>
      <c r="J59" t="str">
        <f>TEXT(tblExpenses[[#This Row],[Date]],"mmm")</f>
        <v>Dec</v>
      </c>
    </row>
    <row r="60" spans="1:10" x14ac:dyDescent="0.3">
      <c r="A60" t="s">
        <v>85</v>
      </c>
      <c r="B60" s="1">
        <v>45748</v>
      </c>
      <c r="C60" t="s">
        <v>22</v>
      </c>
      <c r="D60" t="s">
        <v>30</v>
      </c>
      <c r="E60" s="2">
        <v>72059</v>
      </c>
      <c r="F60" t="s">
        <v>12</v>
      </c>
      <c r="G60" t="s">
        <v>17</v>
      </c>
      <c r="H60" s="2">
        <v>124657</v>
      </c>
      <c r="I60" s="2">
        <v>52598</v>
      </c>
      <c r="J60" t="str">
        <f>TEXT(tblExpenses[[#This Row],[Date]],"mmm")</f>
        <v>Apr</v>
      </c>
    </row>
    <row r="61" spans="1:10" x14ac:dyDescent="0.3">
      <c r="A61" t="s">
        <v>86</v>
      </c>
      <c r="B61" s="1">
        <v>46000</v>
      </c>
      <c r="C61" t="s">
        <v>10</v>
      </c>
      <c r="D61" t="s">
        <v>20</v>
      </c>
      <c r="E61" s="2">
        <v>215097</v>
      </c>
      <c r="F61" t="s">
        <v>23</v>
      </c>
      <c r="G61" t="s">
        <v>13</v>
      </c>
      <c r="H61" s="2">
        <v>333025</v>
      </c>
      <c r="I61" s="2">
        <v>117928</v>
      </c>
      <c r="J61" t="str">
        <f>TEXT(tblExpenses[[#This Row],[Date]],"mmm")</f>
        <v>Dec</v>
      </c>
    </row>
  </sheetData>
  <pageMargins left="0.75" right="0.75" top="1" bottom="1" header="0.5" footer="0.5"/>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9F4C2D-FF89-496E-9EDD-1ADE814BB825}">
  <sheetPr codeName="Sheet2"/>
  <dimension ref="A3:P62"/>
  <sheetViews>
    <sheetView workbookViewId="0"/>
  </sheetViews>
  <sheetFormatPr defaultRowHeight="14.4" x14ac:dyDescent="0.3"/>
  <cols>
    <col min="1" max="1" width="17.6640625" bestFit="1" customWidth="1"/>
    <col min="2" max="2" width="19" bestFit="1" customWidth="1"/>
    <col min="4" max="4" width="13.44140625" bestFit="1" customWidth="1"/>
    <col min="5" max="5" width="11.88671875" bestFit="1" customWidth="1"/>
    <col min="6" max="6" width="22.33203125" bestFit="1" customWidth="1"/>
    <col min="7" max="7" width="10.88671875" bestFit="1" customWidth="1"/>
    <col min="8" max="8" width="19" bestFit="1" customWidth="1"/>
    <col min="10" max="10" width="11.5546875" bestFit="1" customWidth="1"/>
    <col min="11" max="11" width="19.33203125" bestFit="1" customWidth="1"/>
    <col min="12" max="12" width="18.109375" bestFit="1" customWidth="1"/>
    <col min="13" max="13" width="19" bestFit="1" customWidth="1"/>
    <col min="14" max="14" width="22.33203125" bestFit="1" customWidth="1"/>
    <col min="15" max="15" width="23.33203125" bestFit="1" customWidth="1"/>
    <col min="16" max="16" width="18.44140625" bestFit="1" customWidth="1"/>
  </cols>
  <sheetData>
    <row r="3" spans="1:16" x14ac:dyDescent="0.3">
      <c r="A3" s="5" t="s">
        <v>2</v>
      </c>
      <c r="B3" s="6" t="s">
        <v>89</v>
      </c>
      <c r="D3" s="5" t="s">
        <v>3</v>
      </c>
      <c r="E3" s="6" t="s">
        <v>89</v>
      </c>
      <c r="G3" s="5" t="s">
        <v>87</v>
      </c>
      <c r="H3" s="6" t="s">
        <v>89</v>
      </c>
      <c r="J3" s="4" t="s">
        <v>6</v>
      </c>
      <c r="K3" t="s">
        <v>89</v>
      </c>
      <c r="L3" t="s">
        <v>91</v>
      </c>
      <c r="M3" s="6" t="s">
        <v>89</v>
      </c>
      <c r="N3" s="6" t="s">
        <v>92</v>
      </c>
      <c r="O3" s="6" t="s">
        <v>93</v>
      </c>
      <c r="P3" s="6" t="s">
        <v>91</v>
      </c>
    </row>
    <row r="4" spans="1:16" x14ac:dyDescent="0.3">
      <c r="A4" s="6" t="s">
        <v>29</v>
      </c>
      <c r="B4" s="7">
        <v>112346</v>
      </c>
      <c r="D4" s="6" t="s">
        <v>27</v>
      </c>
      <c r="E4" s="7">
        <v>112346</v>
      </c>
      <c r="G4" s="6" t="s">
        <v>90</v>
      </c>
      <c r="H4" s="7">
        <v>112346</v>
      </c>
      <c r="J4" t="s">
        <v>13</v>
      </c>
      <c r="K4" s="2">
        <v>112346</v>
      </c>
      <c r="L4" s="9">
        <v>1</v>
      </c>
      <c r="M4" s="7">
        <v>112346</v>
      </c>
      <c r="N4" s="7">
        <v>191867</v>
      </c>
      <c r="O4" s="7">
        <v>79521</v>
      </c>
      <c r="P4" s="10">
        <v>1</v>
      </c>
    </row>
    <row r="5" spans="1:16" x14ac:dyDescent="0.3">
      <c r="A5" s="6" t="s">
        <v>88</v>
      </c>
      <c r="B5" s="7">
        <v>112346</v>
      </c>
      <c r="D5" s="6" t="s">
        <v>88</v>
      </c>
      <c r="E5" s="7">
        <v>112346</v>
      </c>
      <c r="G5" s="6" t="s">
        <v>88</v>
      </c>
      <c r="H5" s="7">
        <v>112346</v>
      </c>
      <c r="J5" t="s">
        <v>88</v>
      </c>
      <c r="K5" s="2">
        <v>112346</v>
      </c>
      <c r="L5" s="8">
        <v>1</v>
      </c>
    </row>
    <row r="25" spans="1:6" x14ac:dyDescent="0.3">
      <c r="A25" s="5" t="s">
        <v>5</v>
      </c>
      <c r="B25" s="6" t="s">
        <v>89</v>
      </c>
      <c r="D25" s="5" t="s">
        <v>2</v>
      </c>
      <c r="E25" s="6" t="s">
        <v>94</v>
      </c>
      <c r="F25" s="6" t="s">
        <v>92</v>
      </c>
    </row>
    <row r="26" spans="1:6" x14ac:dyDescent="0.3">
      <c r="A26" s="6" t="s">
        <v>31</v>
      </c>
      <c r="B26" s="7">
        <v>112346</v>
      </c>
      <c r="D26" s="6" t="s">
        <v>29</v>
      </c>
      <c r="E26" s="7">
        <v>112346</v>
      </c>
      <c r="F26" s="7">
        <v>191867</v>
      </c>
    </row>
    <row r="27" spans="1:6" x14ac:dyDescent="0.3">
      <c r="A27" s="6" t="s">
        <v>88</v>
      </c>
      <c r="B27" s="7">
        <v>112346</v>
      </c>
      <c r="D27" s="6" t="s">
        <v>88</v>
      </c>
      <c r="E27" s="7">
        <v>112346</v>
      </c>
      <c r="F27" s="7">
        <v>191867</v>
      </c>
    </row>
    <row r="50" spans="1:15" x14ac:dyDescent="0.3">
      <c r="A50" t="s">
        <v>2</v>
      </c>
      <c r="B50" t="s">
        <v>95</v>
      </c>
      <c r="D50" t="s">
        <v>3</v>
      </c>
      <c r="E50" t="s">
        <v>95</v>
      </c>
      <c r="G50" t="s">
        <v>87</v>
      </c>
      <c r="H50" t="s">
        <v>95</v>
      </c>
      <c r="J50" t="s">
        <v>5</v>
      </c>
      <c r="K50" t="s">
        <v>95</v>
      </c>
      <c r="M50" t="s">
        <v>2</v>
      </c>
      <c r="N50" t="s">
        <v>94</v>
      </c>
      <c r="O50" t="s">
        <v>7</v>
      </c>
    </row>
    <row r="51" spans="1:15" x14ac:dyDescent="0.3">
      <c r="A51" t="str">
        <f>Pivot!$A$4</f>
        <v>Finance</v>
      </c>
      <c r="B51" s="2">
        <f>Pivot!$B$4</f>
        <v>112346</v>
      </c>
      <c r="D51" t="str">
        <f>Pivot!$D$4</f>
        <v>Office Supplies</v>
      </c>
      <c r="E51" s="2">
        <f>Pivot!$E$4</f>
        <v>112346</v>
      </c>
      <c r="G51" t="str">
        <f>Pivot!$G$4</f>
        <v>Aug</v>
      </c>
      <c r="H51" s="2">
        <f>Pivot!$H$4</f>
        <v>112346</v>
      </c>
      <c r="J51" t="str">
        <f>Pivot!$A$26</f>
        <v>UPI</v>
      </c>
      <c r="K51" s="2">
        <f>Pivot!$B$26</f>
        <v>112346</v>
      </c>
      <c r="M51" t="str">
        <f>Pivot!$D$26</f>
        <v>Finance</v>
      </c>
      <c r="N51" s="2">
        <f>Pivot!$E$26</f>
        <v>112346</v>
      </c>
      <c r="O51" s="2">
        <f>Pivot!$F$26</f>
        <v>191867</v>
      </c>
    </row>
    <row r="52" spans="1:15" x14ac:dyDescent="0.3">
      <c r="A52" t="str">
        <f>Pivot!$A$5</f>
        <v>Grand Total</v>
      </c>
      <c r="B52" s="2">
        <f>Pivot!$B$5</f>
        <v>112346</v>
      </c>
      <c r="D52" t="str">
        <f>Pivot!$D$5</f>
        <v>Grand Total</v>
      </c>
      <c r="E52" s="2">
        <f>Pivot!$E$5</f>
        <v>112346</v>
      </c>
      <c r="G52" t="str">
        <f>Pivot!$G$5</f>
        <v>Grand Total</v>
      </c>
      <c r="H52" s="2">
        <f>Pivot!$H$5</f>
        <v>112346</v>
      </c>
      <c r="J52" t="str">
        <f>Pivot!$A$27</f>
        <v>Grand Total</v>
      </c>
      <c r="K52" s="2">
        <f>Pivot!$B$27</f>
        <v>112346</v>
      </c>
      <c r="M52" t="str">
        <f>Pivot!$D$27</f>
        <v>Grand Total</v>
      </c>
      <c r="N52" s="2">
        <f>Pivot!$E$27</f>
        <v>112346</v>
      </c>
      <c r="O52" s="2">
        <f>Pivot!$F$27</f>
        <v>191867</v>
      </c>
    </row>
    <row r="53" spans="1:15" x14ac:dyDescent="0.3">
      <c r="A53">
        <f>Pivot!$A$6</f>
        <v>0</v>
      </c>
      <c r="B53" s="2">
        <f>Pivot!$B$6</f>
        <v>0</v>
      </c>
      <c r="D53">
        <f>Pivot!$D$6</f>
        <v>0</v>
      </c>
      <c r="E53" s="2">
        <f>Pivot!$E$6</f>
        <v>0</v>
      </c>
      <c r="G53">
        <f>Pivot!$G$6</f>
        <v>0</v>
      </c>
      <c r="H53" s="2">
        <f>Pivot!$H$6</f>
        <v>0</v>
      </c>
      <c r="J53">
        <f>Pivot!$A$28</f>
        <v>0</v>
      </c>
      <c r="K53" s="2">
        <f>Pivot!$B$28</f>
        <v>0</v>
      </c>
      <c r="M53">
        <f>Pivot!$D$28</f>
        <v>0</v>
      </c>
      <c r="N53" s="2">
        <f>Pivot!$E$28</f>
        <v>0</v>
      </c>
      <c r="O53" s="2">
        <f>Pivot!$F$28</f>
        <v>0</v>
      </c>
    </row>
    <row r="54" spans="1:15" x14ac:dyDescent="0.3">
      <c r="A54">
        <f>Pivot!$A$7</f>
        <v>0</v>
      </c>
      <c r="B54" s="2">
        <f>Pivot!$B$7</f>
        <v>0</v>
      </c>
      <c r="D54">
        <f>Pivot!$D$7</f>
        <v>0</v>
      </c>
      <c r="E54" s="2">
        <f>Pivot!$E$7</f>
        <v>0</v>
      </c>
      <c r="G54">
        <f>Pivot!$G$7</f>
        <v>0</v>
      </c>
      <c r="H54" s="2">
        <f>Pivot!$H$7</f>
        <v>0</v>
      </c>
      <c r="J54">
        <f>Pivot!$A$29</f>
        <v>0</v>
      </c>
      <c r="K54" s="2">
        <f>Pivot!$B$29</f>
        <v>0</v>
      </c>
      <c r="M54">
        <f>Pivot!$D$29</f>
        <v>0</v>
      </c>
      <c r="N54" s="2">
        <f>Pivot!$E$29</f>
        <v>0</v>
      </c>
      <c r="O54" s="2">
        <f>Pivot!$F$29</f>
        <v>0</v>
      </c>
    </row>
    <row r="55" spans="1:15" x14ac:dyDescent="0.3">
      <c r="A55">
        <f>Pivot!$A$8</f>
        <v>0</v>
      </c>
      <c r="B55" s="2">
        <f>Pivot!$B$8</f>
        <v>0</v>
      </c>
      <c r="D55">
        <f>Pivot!$D$8</f>
        <v>0</v>
      </c>
      <c r="E55" s="2">
        <f>Pivot!$E$8</f>
        <v>0</v>
      </c>
      <c r="G55">
        <f>Pivot!$G$8</f>
        <v>0</v>
      </c>
      <c r="H55" s="2">
        <f>Pivot!$H$8</f>
        <v>0</v>
      </c>
      <c r="M55">
        <f>Pivot!$D$30</f>
        <v>0</v>
      </c>
      <c r="N55" s="2">
        <f>Pivot!$E$30</f>
        <v>0</v>
      </c>
      <c r="O55" s="2">
        <f>Pivot!$F$30</f>
        <v>0</v>
      </c>
    </row>
    <row r="56" spans="1:15" x14ac:dyDescent="0.3">
      <c r="A56">
        <f>Pivot!$A$9</f>
        <v>0</v>
      </c>
      <c r="B56" s="2">
        <f>Pivot!$B$9</f>
        <v>0</v>
      </c>
      <c r="D56">
        <f>Pivot!$D$9</f>
        <v>0</v>
      </c>
      <c r="E56" s="2">
        <f>Pivot!$E$9</f>
        <v>0</v>
      </c>
      <c r="G56">
        <f>Pivot!$G$9</f>
        <v>0</v>
      </c>
      <c r="H56" s="2">
        <f>Pivot!$H$9</f>
        <v>0</v>
      </c>
      <c r="M56">
        <f>Pivot!$D$31</f>
        <v>0</v>
      </c>
      <c r="N56" s="2">
        <f>Pivot!$E$31</f>
        <v>0</v>
      </c>
      <c r="O56" s="2">
        <f>Pivot!$F$31</f>
        <v>0</v>
      </c>
    </row>
    <row r="57" spans="1:15" x14ac:dyDescent="0.3">
      <c r="G57">
        <f>Pivot!$G$10</f>
        <v>0</v>
      </c>
      <c r="H57" s="2">
        <f>Pivot!$H$10</f>
        <v>0</v>
      </c>
    </row>
    <row r="58" spans="1:15" x14ac:dyDescent="0.3">
      <c r="G58">
        <f>Pivot!$G$11</f>
        <v>0</v>
      </c>
      <c r="H58" s="2">
        <f>Pivot!$H$11</f>
        <v>0</v>
      </c>
    </row>
    <row r="59" spans="1:15" x14ac:dyDescent="0.3">
      <c r="G59">
        <f>Pivot!$G$12</f>
        <v>0</v>
      </c>
      <c r="H59" s="2">
        <f>Pivot!$H$12</f>
        <v>0</v>
      </c>
    </row>
    <row r="60" spans="1:15" x14ac:dyDescent="0.3">
      <c r="G60">
        <f>Pivot!$G$13</f>
        <v>0</v>
      </c>
      <c r="H60" s="2">
        <f>Pivot!$H$13</f>
        <v>0</v>
      </c>
    </row>
    <row r="61" spans="1:15" x14ac:dyDescent="0.3">
      <c r="G61">
        <f>Pivot!$G$14</f>
        <v>0</v>
      </c>
      <c r="H61" s="2">
        <f>Pivot!$H$14</f>
        <v>0</v>
      </c>
    </row>
    <row r="62" spans="1:15" x14ac:dyDescent="0.3">
      <c r="G62">
        <f>Pivot!$G$15</f>
        <v>0</v>
      </c>
      <c r="H62" s="2">
        <f>Pivot!$H$15</f>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Data</vt:lpstr>
      <vt:lpstr>Pivot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Syed Haider Ali Shah</cp:lastModifiedBy>
  <dcterms:created xsi:type="dcterms:W3CDTF">2026-06-13T06:10:48Z</dcterms:created>
  <dcterms:modified xsi:type="dcterms:W3CDTF">2026-07-16T17:10:49Z</dcterms:modified>
</cp:coreProperties>
</file>